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Details" sheetId="1" state="visible" r:id="rId1"/>
    <sheet xmlns:r="http://schemas.openxmlformats.org/officeDocument/2006/relationships" name="Bill of Materials" sheetId="2" state="visible" r:id="rId2"/>
    <sheet xmlns:r="http://schemas.openxmlformats.org/officeDocument/2006/relationships" name="Pallet &amp; Delivery" sheetId="3" state="visible" r:id="rId3"/>
    <sheet xmlns:r="http://schemas.openxmlformats.org/officeDocument/2006/relationships" name="BuildEase Services" sheetId="4" state="visible" r:id="rId4"/>
    <sheet xmlns:r="http://schemas.openxmlformats.org/officeDocument/2006/relationships" name="Pricing Summary" sheetId="5" state="visible" r:id="rId5"/>
    <sheet xmlns:r="http://schemas.openxmlformats.org/officeDocument/2006/relationships" name="Terms &amp; Conditions" sheetId="6" state="visible" r:id="rId6"/>
    <sheet xmlns:r="http://schemas.openxmlformats.org/officeDocument/2006/relationships" name="Order Form" sheetId="7" state="visible" r:id="rId7"/>
  </sheets>
  <definedNames>
    <definedName name="BOM_Materials_Total">'Bill of Materials'!$I$130</definedName>
    <definedName name="BOM_Precut_Total">'BuildEase Services'!$D$7</definedName>
    <definedName name="BOM_Alignment_Total">'BuildEase Services'!$D$10</definedName>
  </definedNames>
  <calcPr calcId="124519" fullCalcOnLoad="1"/>
</workbook>
</file>

<file path=xl/styles.xml><?xml version="1.0" encoding="utf-8"?>
<styleSheet xmlns="http://schemas.openxmlformats.org/spreadsheetml/2006/main">
  <numFmts count="1">
    <numFmt numFmtId="164" formatCode="£#,##0.00"/>
  </numFmts>
  <fonts count="17">
    <font>
      <name val="Calibri"/>
      <family val="2"/>
      <color theme="1"/>
      <sz val="11"/>
      <scheme val="minor"/>
    </font>
    <font>
      <name val="Calibri"/>
      <b val="1"/>
      <color rgb="001A5C57"/>
      <sz val="11"/>
    </font>
    <font>
      <name val="Calibri"/>
      <color rgb="00666666"/>
      <sz val="9"/>
    </font>
    <font>
      <name val="Calibri"/>
      <b val="1"/>
      <color rgb="001A5C57"/>
      <sz val="20"/>
    </font>
    <font>
      <name val="Calibri"/>
      <color rgb="0000A68A"/>
      <sz val="14"/>
    </font>
    <font>
      <name val="Calibri"/>
      <b val="1"/>
      <color rgb="00FFFFFF"/>
      <sz val="10"/>
    </font>
    <font>
      <name val="Calibri"/>
      <b val="1"/>
      <color rgb="00333333"/>
      <sz val="10"/>
    </font>
    <font>
      <name val="Calibri"/>
      <color rgb="00333333"/>
      <sz val="10"/>
    </font>
    <font>
      <name val="Calibri"/>
      <i val="1"/>
      <color rgb="00666666"/>
      <sz val="10"/>
    </font>
    <font>
      <name val="Calibri"/>
      <b val="1"/>
      <color rgb="001A5C57"/>
      <sz val="14"/>
    </font>
    <font>
      <name val="Calibri"/>
      <b val="1"/>
      <color rgb="001A5C57"/>
      <sz val="10"/>
    </font>
    <font>
      <name val="Calibri"/>
      <b val="1"/>
      <i val="1"/>
      <color rgb="0000A68A"/>
      <sz val="10"/>
    </font>
    <font>
      <name val="Calibri"/>
      <b val="1"/>
      <color rgb="00FFFFFF"/>
      <sz val="12"/>
    </font>
    <font>
      <name val="Calibri"/>
      <i val="1"/>
      <color rgb="00666666"/>
      <sz val="9"/>
    </font>
    <font>
      <name val="Calibri"/>
      <b val="1"/>
      <color rgb="001A5C57"/>
      <sz val="16"/>
    </font>
    <font>
      <name val="Calibri"/>
      <color rgb="00333333"/>
      <sz val="9.5"/>
    </font>
    <font>
      <name val="Calibri"/>
      <color rgb="00666666"/>
      <sz val="8"/>
    </font>
  </fonts>
  <fills count="7">
    <fill>
      <patternFill/>
    </fill>
    <fill>
      <patternFill patternType="gray125"/>
    </fill>
    <fill>
      <patternFill patternType="solid">
        <fgColor rgb="0000A68A"/>
        <bgColor rgb="0000A68A"/>
      </patternFill>
    </fill>
    <fill>
      <patternFill patternType="solid">
        <fgColor rgb="001A5C57"/>
        <bgColor rgb="001A5C57"/>
      </patternFill>
    </fill>
    <fill>
      <patternFill patternType="solid">
        <fgColor rgb="00E8F5F3"/>
        <bgColor rgb="00E8F5F3"/>
      </patternFill>
    </fill>
    <fill>
      <patternFill patternType="solid">
        <fgColor rgb="00FFF9E6"/>
        <bgColor rgb="00FFF9E6"/>
      </patternFill>
    </fill>
    <fill>
      <patternFill patternType="solid">
        <fgColor rgb="00F7F7F7"/>
        <bgColor rgb="00F7F7F7"/>
      </patternFill>
    </fill>
  </fills>
  <borders count="6">
    <border>
      <left/>
      <right/>
      <top/>
      <bottom/>
      <diagonal/>
    </border>
    <border>
      <left style="thin">
        <color rgb="0000A68A"/>
      </left>
      <right style="thin">
        <color rgb="0000A68A"/>
      </right>
      <top style="thin">
        <color rgb="0000A68A"/>
      </top>
      <bottom style="thin">
        <color rgb="0000A68A"/>
      </bottom>
    </border>
    <border>
      <left/>
      <right/>
      <top style="thin">
        <color rgb="0000A68A"/>
      </top>
      <bottom/>
      <diagonal/>
    </border>
    <border>
      <left/>
      <right style="thin">
        <color rgb="0000A68A"/>
      </right>
      <top style="thin">
        <color rgb="0000A68A"/>
      </top>
      <bottom/>
      <diagonal/>
    </border>
    <border>
      <left/>
      <right/>
      <top style="thin">
        <color rgb="0000A68A"/>
      </top>
      <bottom style="thin">
        <color rgb="0000A68A"/>
      </bottom>
      <diagonal/>
    </border>
    <border>
      <left/>
      <right style="thin">
        <color rgb="0000A68A"/>
      </right>
      <top style="thin">
        <color rgb="0000A68A"/>
      </top>
      <bottom style="thin">
        <color rgb="0000A68A"/>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right"/>
    </xf>
    <xf numFmtId="0" fontId="3" fillId="0" borderId="0" pivotButton="0" quotePrefix="0" xfId="0"/>
    <xf numFmtId="0" fontId="4" fillId="0" borderId="0" pivotButton="0" quotePrefix="0" xfId="0"/>
    <xf numFmtId="0" fontId="0" fillId="2" borderId="0" pivotButton="0" quotePrefix="0" xfId="0"/>
    <xf numFmtId="0" fontId="5"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1" pivotButton="0" quotePrefix="0" xfId="0"/>
    <xf numFmtId="0" fontId="7" fillId="0" borderId="1" pivotButton="0" quotePrefix="0" xfId="0"/>
    <xf numFmtId="0" fontId="0" fillId="5" borderId="1" applyProtection="1" pivotButton="0" quotePrefix="0" xfId="0">
      <protection locked="0" hidden="0"/>
    </xf>
    <xf numFmtId="0" fontId="8" fillId="0" borderId="0" applyAlignment="1" pivotButton="0" quotePrefix="0" xfId="0">
      <alignment wrapText="1"/>
    </xf>
    <xf numFmtId="0" fontId="9" fillId="0" borderId="0" pivotButton="0" quotePrefix="0" xfId="0"/>
    <xf numFmtId="0" fontId="8" fillId="0" borderId="0" pivotButton="0" quotePrefix="0" xfId="0"/>
    <xf numFmtId="164" fontId="0" fillId="5" borderId="1" applyProtection="1" pivotButton="0" quotePrefix="0" xfId="0">
      <protection locked="0" hidden="0"/>
    </xf>
    <xf numFmtId="0" fontId="7" fillId="6" borderId="1" pivotButton="0" quotePrefix="0" xfId="0"/>
    <xf numFmtId="0" fontId="10" fillId="4" borderId="1" pivotButton="0" quotePrefix="0" xfId="0"/>
    <xf numFmtId="0" fontId="0" fillId="4" borderId="1" pivotButton="0" quotePrefix="0" xfId="0"/>
    <xf numFmtId="0" fontId="7" fillId="6" borderId="1" applyAlignment="1" pivotButton="0" quotePrefix="0" xfId="0">
      <alignment vertical="center" wrapText="1"/>
    </xf>
    <xf numFmtId="164" fontId="7" fillId="6" borderId="1" applyAlignment="1" pivotButton="0" quotePrefix="0" xfId="0">
      <alignment horizontal="right" vertical="center"/>
    </xf>
    <xf numFmtId="0" fontId="7" fillId="0" borderId="1" applyAlignment="1" pivotButton="0" quotePrefix="0" xfId="0">
      <alignment vertical="center" wrapText="1"/>
    </xf>
    <xf numFmtId="164" fontId="7" fillId="0" borderId="1" applyAlignment="1" pivotButton="0" quotePrefix="0" xfId="0">
      <alignment horizontal="right" vertical="center"/>
    </xf>
    <xf numFmtId="0" fontId="1" fillId="4" borderId="1" pivotButton="0" quotePrefix="0" xfId="0"/>
    <xf numFmtId="164" fontId="1" fillId="4" borderId="1" applyAlignment="1" pivotButton="0" quotePrefix="0" xfId="0">
      <alignment horizontal="right" vertical="center"/>
    </xf>
    <xf numFmtId="0" fontId="11" fillId="0" borderId="0" pivotButton="0" quotePrefix="0" xfId="0"/>
    <xf numFmtId="1" fontId="1" fillId="4" borderId="1" applyAlignment="1" pivotButton="0" quotePrefix="0" xfId="0">
      <alignment horizontal="right" vertical="center"/>
    </xf>
    <xf numFmtId="164" fontId="0" fillId="0" borderId="1" applyAlignment="1" pivotButton="0" quotePrefix="0" xfId="0">
      <alignment horizontal="right"/>
    </xf>
    <xf numFmtId="164" fontId="0" fillId="6" borderId="1" applyAlignment="1" pivotButton="0" quotePrefix="0" xfId="0">
      <alignment horizontal="right"/>
    </xf>
    <xf numFmtId="0" fontId="6" fillId="0" borderId="1" pivotButton="0" quotePrefix="0" xfId="0"/>
    <xf numFmtId="0" fontId="12" fillId="3" borderId="1" pivotButton="0" quotePrefix="0" xfId="0"/>
    <xf numFmtId="164" fontId="12" fillId="3" borderId="1" applyAlignment="1" pivotButton="0" quotePrefix="0" xfId="0">
      <alignment horizontal="right"/>
    </xf>
    <xf numFmtId="0" fontId="13" fillId="0" borderId="0" pivotButton="0" quotePrefix="0" xfId="0"/>
    <xf numFmtId="0" fontId="14" fillId="0" borderId="0" applyAlignment="1" pivotButton="0" quotePrefix="0" xfId="0">
      <alignment horizontal="right"/>
    </xf>
    <xf numFmtId="0" fontId="15" fillId="0" borderId="0" applyAlignment="1" pivotButton="0" quotePrefix="0" xfId="0">
      <alignment vertical="top" wrapText="1"/>
    </xf>
    <xf numFmtId="0" fontId="16" fillId="0" borderId="0" pivotButton="0" quotePrefix="0" xfId="0"/>
    <xf numFmtId="0" fontId="0" fillId="0" borderId="1" pivotButton="0" quotePrefix="0" xfId="0"/>
    <xf numFmtId="0" fontId="0" fillId="5" borderId="1" applyAlignment="1" applyProtection="1" pivotButton="0" quotePrefix="0" xfId="0">
      <alignment horizontal="center"/>
      <protection locked="0" hidden="0"/>
    </xf>
    <xf numFmtId="0" fontId="6" fillId="6" borderId="1" pivotButton="0" quotePrefix="0" xfId="0"/>
    <xf numFmtId="0" fontId="7" fillId="0" borderId="0" applyAlignment="1" pivotButton="0" quotePrefix="0" xfId="0">
      <alignment wrapText="1"/>
    </xf>
    <xf numFmtId="0" fontId="11" fillId="0" borderId="0" applyAlignment="1" pivotButton="0" quotePrefix="0" xfId="0">
      <alignment wrapText="1"/>
    </xf>
    <xf numFmtId="0" fontId="0" fillId="0" borderId="4" applyProtection="1" pivotButton="0" quotePrefix="0" xfId="0">
      <protection locked="0" hidden="0"/>
    </xf>
    <xf numFmtId="0" fontId="0" fillId="0" borderId="5" applyProtection="1" pivotButton="0" quotePrefix="0" xfId="0">
      <protection locked="0" hidden="0"/>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2095500" cy="1381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714500" cy="1133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1714500" cy="1133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A5C57"/>
    <outlinePr summaryBelow="1" summaryRight="1"/>
    <pageSetUpPr/>
  </sheetPr>
  <dimension ref="A1:D24"/>
  <sheetViews>
    <sheetView workbookViewId="0">
      <selection activeCell="A1" sqref="A1"/>
    </sheetView>
  </sheetViews>
  <sheetFormatPr baseColWidth="8" defaultRowHeight="15"/>
  <cols>
    <col width="25" customWidth="1" min="1" max="1"/>
    <col width="45" customWidth="1" min="2" max="2"/>
    <col width="20" customWidth="1" min="3" max="3"/>
    <col width="30" customWidth="1" min="4" max="4"/>
  </cols>
  <sheetData>
    <row r="1" ht="108.75" customHeight="1">
      <c r="C1" s="1" t="inlineStr">
        <is>
          <t>Tremco CPG UK Limited</t>
        </is>
      </c>
    </row>
    <row r="2">
      <c r="C2" s="2" t="inlineStr">
        <is>
          <t>Cavendish House, Unit 1, Enterprise 36, Barnsley, S75 3DZ</t>
        </is>
      </c>
    </row>
    <row r="3"/>
    <row r="4">
      <c r="A4" s="3" t="inlineStr">
        <is>
          <t>BUILDEASE PRE-CUT ICF KIT</t>
        </is>
      </c>
    </row>
    <row r="5">
      <c r="A5" s="4" t="inlineStr">
        <is>
          <t>DISTRIBUTOR BILL OF MATERIALS</t>
        </is>
      </c>
    </row>
    <row r="6" ht="4" customHeight="1">
      <c r="A6" s="5" t="n"/>
      <c r="B6" s="5" t="n"/>
      <c r="C6" s="5" t="n"/>
      <c r="D6" s="5" t="n"/>
    </row>
    <row r="7"/>
    <row r="8">
      <c r="A8" s="6" t="inlineStr">
        <is>
          <t>PROJECT DETAILS</t>
        </is>
      </c>
      <c r="B8" s="7" t="n"/>
      <c r="C8" s="7" t="n"/>
      <c r="D8" s="8" t="n"/>
    </row>
    <row r="9">
      <c r="A9" s="9" t="inlineStr">
        <is>
          <t>Estimate Number</t>
        </is>
      </c>
      <c r="B9" s="10" t="inlineStr">
        <is>
          <t>ES26-071</t>
        </is>
      </c>
      <c r="C9" s="7" t="n"/>
      <c r="D9" s="8" t="n"/>
    </row>
    <row r="10">
      <c r="A10" s="9" t="inlineStr">
        <is>
          <t>Date</t>
        </is>
      </c>
      <c r="B10" s="10" t="inlineStr">
        <is>
          <t>20/10/2026</t>
        </is>
      </c>
      <c r="C10" s="7" t="n"/>
      <c r="D10" s="8" t="n"/>
    </row>
    <row r="11">
      <c r="A11" s="9" t="inlineStr">
        <is>
          <t>Valid Until</t>
        </is>
      </c>
      <c r="B11" s="10" t="inlineStr">
        <is>
          <t>19/11/2026</t>
        </is>
      </c>
      <c r="C11" s="7" t="n"/>
      <c r="D11" s="8" t="n"/>
    </row>
    <row r="12">
      <c r="A12" s="9" t="inlineStr">
        <is>
          <t>Site Name</t>
        </is>
      </c>
      <c r="B12" s="10" t="inlineStr">
        <is>
          <t>Close Woirrey and Albert Road, Ramsey</t>
        </is>
      </c>
      <c r="C12" s="7" t="n"/>
      <c r="D12" s="8" t="n"/>
    </row>
    <row r="13">
      <c r="A13" s="9" t="inlineStr">
        <is>
          <t>Site Address</t>
        </is>
      </c>
      <c r="B13" s="10" t="inlineStr">
        <is>
          <t>Close Woirrey and Albert Road, Ramsey, Isle of Man</t>
        </is>
      </c>
      <c r="C13" s="7" t="n"/>
      <c r="D13" s="8" t="n"/>
    </row>
    <row r="14">
      <c r="A14" s="9" t="inlineStr">
        <is>
          <t>Opportunity Number</t>
        </is>
      </c>
      <c r="B14" s="10" t="inlineStr">
        <is>
          <t>ES26-071</t>
        </is>
      </c>
      <c r="C14" s="7" t="n"/>
      <c r="D14" s="8" t="n"/>
    </row>
    <row r="15">
      <c r="A15" s="9" t="inlineStr">
        <is>
          <t>Total Plots</t>
        </is>
      </c>
      <c r="B15" s="10" t="inlineStr">
        <is>
          <t>30 flats in 2 blocks (Block 1 = 12 flats, Block 2 = 18 flats)</t>
        </is>
      </c>
      <c r="C15" s="7" t="n"/>
      <c r="D15" s="8" t="n"/>
    </row>
    <row r="16"/>
    <row r="17">
      <c r="A17" s="6" t="inlineStr">
        <is>
          <t>DISTRIBUTOR DETAILS (please complete)</t>
        </is>
      </c>
      <c r="B17" s="7" t="n"/>
      <c r="C17" s="7" t="n"/>
      <c r="D17" s="8" t="n"/>
    </row>
    <row r="18">
      <c r="A18" s="9" t="inlineStr">
        <is>
          <t>Distributor Company Name</t>
        </is>
      </c>
      <c r="B18" s="11" t="inlineStr"/>
      <c r="C18" s="41" t="n"/>
      <c r="D18" s="42" t="n"/>
    </row>
    <row r="19">
      <c r="A19" s="9" t="inlineStr">
        <is>
          <t>Contact Name</t>
        </is>
      </c>
      <c r="B19" s="11" t="inlineStr"/>
      <c r="C19" s="41" t="n"/>
      <c r="D19" s="42" t="n"/>
    </row>
    <row r="20">
      <c r="A20" s="9" t="inlineStr">
        <is>
          <t>Contact Email</t>
        </is>
      </c>
      <c r="B20" s="11" t="inlineStr"/>
      <c r="C20" s="41" t="n"/>
      <c r="D20" s="42" t="n"/>
    </row>
    <row r="21">
      <c r="A21" s="9" t="inlineStr">
        <is>
          <t>Contact Phone</t>
        </is>
      </c>
      <c r="B21" s="11" t="inlineStr"/>
      <c r="C21" s="41" t="n"/>
      <c r="D21" s="42" t="n"/>
    </row>
    <row r="22">
      <c r="A22" s="9" t="inlineStr">
        <is>
          <t>Your Reference</t>
        </is>
      </c>
      <c r="B22" s="11" t="inlineStr"/>
      <c r="C22" s="41" t="n"/>
      <c r="D22" s="42" t="n"/>
    </row>
    <row r="23"/>
    <row r="24">
      <c r="A24" s="12" t="inlineStr">
        <is>
          <t>INSTRUCTIONS: Yellow-highlighted cells are editable. Enter your sale rates on the "Bill of Materials" sheet to calculate your totals. The "Pricing Summary" sheet will update automatically.</t>
        </is>
      </c>
    </row>
  </sheetData>
  <sheetProtection selectLockedCells="0" selectUnlockedCells="0" sheet="1" objects="0" insertRows="1" insertHyperlinks="1" autoFilter="1" scenarios="0" formatColumns="1" deleteColumns="1" insertColumns="1" pivotTables="1" deleteRows="1" formatCells="1" formatRows="1" sort="1" password="CE4B"/>
  <mergeCells count="19">
    <mergeCell ref="A5:D5"/>
    <mergeCell ref="A17:D17"/>
    <mergeCell ref="B11:D11"/>
    <mergeCell ref="B14:D14"/>
    <mergeCell ref="A8:D8"/>
    <mergeCell ref="A4:D4"/>
    <mergeCell ref="B13:D13"/>
    <mergeCell ref="B10:D10"/>
    <mergeCell ref="B19:D19"/>
    <mergeCell ref="C1:D1"/>
    <mergeCell ref="B9:D9"/>
    <mergeCell ref="A24:D24"/>
    <mergeCell ref="B15:D15"/>
    <mergeCell ref="B20:D20"/>
    <mergeCell ref="C2:D2"/>
    <mergeCell ref="B22:D22"/>
    <mergeCell ref="B18:D18"/>
    <mergeCell ref="B21:D21"/>
    <mergeCell ref="B12:D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A68A"/>
    <outlinePr summaryBelow="1" summaryRight="1"/>
    <pageSetUpPr/>
  </sheetPr>
  <dimension ref="A1:I130"/>
  <sheetViews>
    <sheetView workbookViewId="0">
      <selection activeCell="A1" sqref="A1"/>
    </sheetView>
  </sheetViews>
  <sheetFormatPr baseColWidth="8" defaultRowHeight="15"/>
  <cols>
    <col width="16" customWidth="1" min="1" max="1"/>
    <col width="40" customWidth="1" min="2" max="2"/>
    <col width="14" customWidth="1" min="3" max="3"/>
    <col width="10" customWidth="1" min="4" max="4"/>
    <col width="12" customWidth="1" min="5" max="5"/>
    <col width="10" customWidth="1" min="6" max="6"/>
    <col width="12" customWidth="1" min="7" max="7"/>
    <col width="14" customWidth="1" min="8" max="8"/>
    <col width="16" customWidth="1" min="9" max="9"/>
  </cols>
  <sheetData>
    <row r="1">
      <c r="A1" s="13" t="inlineStr">
        <is>
          <t>DISTRIBUTOR RATE CARD</t>
        </is>
      </c>
    </row>
    <row r="2">
      <c r="A2" s="14" t="inlineStr">
        <is>
          <t>Enter your sale rates below (yellow cells). Rates automatically apply to every occurrence in the Bill of Materials below.</t>
        </is>
      </c>
    </row>
    <row r="4">
      <c r="A4" s="6" t="inlineStr">
        <is>
          <t>SKU</t>
        </is>
      </c>
      <c r="B4" s="6" t="inlineStr">
        <is>
          <t>Description</t>
        </is>
      </c>
      <c r="C4" s="6" t="inlineStr">
        <is>
          <t>Category</t>
        </is>
      </c>
      <c r="D4" s="6" t="inlineStr">
        <is>
          <t>Bundle Size</t>
        </is>
      </c>
      <c r="E4" s="6" t="inlineStr">
        <is>
          <t>Priced By</t>
        </is>
      </c>
      <c r="F4" s="6" t="inlineStr">
        <is>
          <t>Your Rate (£)</t>
        </is>
      </c>
    </row>
    <row r="5">
      <c r="A5" s="10" t="inlineStr">
        <is>
          <t>NUS-I0096-06</t>
        </is>
      </c>
      <c r="B5" s="10" t="inlineStr">
        <is>
          <t>6in Standard Straight</t>
        </is>
      </c>
      <c r="C5" s="10" t="inlineStr">
        <is>
          <t>ICF FORMS</t>
        </is>
      </c>
      <c r="D5" s="10" t="n">
        <v>3</v>
      </c>
      <c r="E5" s="10" t="inlineStr">
        <is>
          <t>Per Each</t>
        </is>
      </c>
      <c r="F5" s="15" t="n"/>
    </row>
    <row r="6">
      <c r="A6" s="16" t="inlineStr">
        <is>
          <t>NUS-I0090-06</t>
        </is>
      </c>
      <c r="B6" s="16" t="inlineStr">
        <is>
          <t>6in Standard 90° Corner</t>
        </is>
      </c>
      <c r="C6" s="16" t="inlineStr">
        <is>
          <t>ICF FORMS</t>
        </is>
      </c>
      <c r="D6" s="16" t="n">
        <v>6</v>
      </c>
      <c r="E6" s="16" t="inlineStr">
        <is>
          <t>Per Each</t>
        </is>
      </c>
      <c r="F6" s="15" t="n"/>
    </row>
    <row r="7">
      <c r="A7" s="10" t="inlineStr">
        <is>
          <t>NUS-IX496-06</t>
        </is>
      </c>
      <c r="B7" s="10" t="inlineStr">
        <is>
          <t>6in XR35 Straight</t>
        </is>
      </c>
      <c r="C7" s="10" t="inlineStr">
        <is>
          <t>ICF FORMS</t>
        </is>
      </c>
      <c r="D7" s="10" t="n">
        <v>2</v>
      </c>
      <c r="E7" s="10" t="inlineStr">
        <is>
          <t>Per Each</t>
        </is>
      </c>
      <c r="F7" s="15" t="n"/>
    </row>
    <row r="8">
      <c r="A8" s="16" t="inlineStr">
        <is>
          <t>NUS-IX490-06</t>
        </is>
      </c>
      <c r="B8" s="16" t="inlineStr">
        <is>
          <t>6in XR35 90° Corner</t>
        </is>
      </c>
      <c r="C8" s="16" t="inlineStr">
        <is>
          <t>ICF FORMS</t>
        </is>
      </c>
      <c r="D8" s="16" t="n">
        <v>4</v>
      </c>
      <c r="E8" s="16" t="inlineStr">
        <is>
          <t>Per Each</t>
        </is>
      </c>
      <c r="F8" s="15" t="n"/>
    </row>
    <row r="9">
      <c r="A9" s="10" t="inlineStr">
        <is>
          <t>NUS-ABLOK-06</t>
        </is>
      </c>
      <c r="B9" s="10" t="inlineStr">
        <is>
          <t>Form-Lock (6in Standard)</t>
        </is>
      </c>
      <c r="C9" s="10" t="inlineStr">
        <is>
          <t>ACCESSORIES</t>
        </is>
      </c>
      <c r="D9" s="10" t="n">
        <v>10</v>
      </c>
      <c r="E9" s="10" t="inlineStr">
        <is>
          <t>Per Bundle</t>
        </is>
      </c>
      <c r="F9" s="15" t="n"/>
    </row>
    <row r="10">
      <c r="A10" s="16" t="inlineStr">
        <is>
          <t>NUS-SF-BOX</t>
        </is>
      </c>
      <c r="B10" s="16" t="inlineStr">
        <is>
          <t>Spray Foam Cans</t>
        </is>
      </c>
      <c r="C10" s="16" t="inlineStr">
        <is>
          <t>ACCESSORIES</t>
        </is>
      </c>
      <c r="D10" s="16" t="n">
        <v>12</v>
      </c>
      <c r="E10" s="16" t="inlineStr">
        <is>
          <t>Per Bundle</t>
        </is>
      </c>
      <c r="F10" s="15" t="n"/>
    </row>
    <row r="11">
      <c r="A11" s="10" t="inlineStr">
        <is>
          <t>NUS-ATSTP-00</t>
        </is>
      </c>
      <c r="B11" s="10" t="inlineStr">
        <is>
          <t>T-Form Support Straps</t>
        </is>
      </c>
      <c r="C11" s="10" t="inlineStr">
        <is>
          <t>ACCESSORIES</t>
        </is>
      </c>
      <c r="D11" s="10" t="n">
        <v>30</v>
      </c>
      <c r="E11" s="10" t="inlineStr">
        <is>
          <t>Per Each</t>
        </is>
      </c>
      <c r="F11" s="15" t="n"/>
    </row>
    <row r="12">
      <c r="A12" s="16" t="inlineStr">
        <is>
          <t>NUS-A0VJC-00</t>
        </is>
      </c>
      <c r="B12" s="16" t="inlineStr">
        <is>
          <t>Vertical Joint Clips</t>
        </is>
      </c>
      <c r="C12" s="16" t="inlineStr">
        <is>
          <t>ACCESSORIES</t>
        </is>
      </c>
      <c r="D12" s="16" t="n">
        <v>200</v>
      </c>
      <c r="E12" s="16" t="inlineStr">
        <is>
          <t>Per Each</t>
        </is>
      </c>
      <c r="F12" s="15" t="n"/>
    </row>
    <row r="13">
      <c r="A13" s="10" t="inlineStr">
        <is>
          <t>NUS-A0ECF-06</t>
        </is>
      </c>
      <c r="B13" s="10" t="inlineStr">
        <is>
          <t>End Caps (6in XR35)</t>
        </is>
      </c>
      <c r="C13" s="10" t="inlineStr">
        <is>
          <t>ACCESSORIES</t>
        </is>
      </c>
      <c r="D13" s="10" t="n">
        <v>40</v>
      </c>
      <c r="E13" s="10" t="inlineStr">
        <is>
          <t>Per Bundle</t>
        </is>
      </c>
      <c r="F13" s="15" t="n"/>
    </row>
    <row r="14">
      <c r="A14" s="16" t="inlineStr">
        <is>
          <t>NUS-PLINT-06</t>
        </is>
      </c>
      <c r="B14" s="16" t="inlineStr">
        <is>
          <t>Lintel Closures (6in XR35)</t>
        </is>
      </c>
      <c r="C14" s="16" t="inlineStr">
        <is>
          <t>ACCESSORIES</t>
        </is>
      </c>
      <c r="D14" s="16" t="n">
        <v>60</v>
      </c>
      <c r="E14" s="16" t="inlineStr">
        <is>
          <t>Per Each</t>
        </is>
      </c>
      <c r="F14" s="15" t="n"/>
    </row>
    <row r="17" ht="4" customHeight="1">
      <c r="A17" s="5" t="n"/>
      <c r="B17" s="5" t="n"/>
      <c r="C17" s="5" t="n"/>
      <c r="D17" s="5" t="n"/>
      <c r="E17" s="5" t="n"/>
      <c r="F17" s="5" t="n"/>
      <c r="G17" s="5" t="n"/>
      <c r="H17" s="5" t="n"/>
      <c r="I17" s="5" t="n"/>
    </row>
    <row r="18">
      <c r="A18" s="13" t="inlineStr">
        <is>
          <t>DETAILED BILL OF MATERIALS BY PLOT</t>
        </is>
      </c>
    </row>
    <row r="19">
      <c r="A19" s="14" t="inlineStr">
        <is>
          <t>Rates are pulled automatically from the Rate Card above. Extended totals calculate based on pricing unit (per-each or per-bundle).</t>
        </is>
      </c>
    </row>
    <row r="20">
      <c r="A20" s="6" t="inlineStr">
        <is>
          <t>SKU</t>
        </is>
      </c>
      <c r="B20" s="6" t="inlineStr">
        <is>
          <t>Description</t>
        </is>
      </c>
      <c r="C20" s="6" t="inlineStr">
        <is>
          <t>Category</t>
        </is>
      </c>
      <c r="D20" s="6" t="inlineStr">
        <is>
          <t>Qty Req.</t>
        </is>
      </c>
      <c r="E20" s="6" t="inlineStr">
        <is>
          <t>Bundle Size</t>
        </is>
      </c>
      <c r="F20" s="6" t="inlineStr">
        <is>
          <t>Bundles</t>
        </is>
      </c>
      <c r="G20" s="6" t="inlineStr">
        <is>
          <t>Priced By</t>
        </is>
      </c>
      <c r="H20" s="6" t="inlineStr">
        <is>
          <t>Rate (£)</t>
        </is>
      </c>
      <c r="I20" s="6" t="inlineStr">
        <is>
          <t>Extended Total (£)</t>
        </is>
      </c>
    </row>
    <row r="21">
      <c r="A21" s="17" t="inlineStr">
        <is>
          <t>Plot B1 - FB</t>
        </is>
      </c>
      <c r="B21" s="7" t="n"/>
      <c r="C21" s="7" t="n"/>
      <c r="D21" s="7" t="n"/>
      <c r="E21" s="7" t="n"/>
      <c r="F21" s="7" t="n"/>
      <c r="G21" s="7" t="n"/>
      <c r="H21" s="7" t="n"/>
      <c r="I21" s="8" t="n"/>
    </row>
    <row r="22">
      <c r="A22" s="19" t="inlineStr">
        <is>
          <t>NUS-I0096-06</t>
        </is>
      </c>
      <c r="B22" s="19" t="inlineStr">
        <is>
          <t>6in Standard Straight</t>
        </is>
      </c>
      <c r="C22" s="19" t="inlineStr">
        <is>
          <t>ICF FORMS</t>
        </is>
      </c>
      <c r="D22" s="19" t="n">
        <v>13</v>
      </c>
      <c r="E22" s="19" t="n">
        <v>3</v>
      </c>
      <c r="F22" s="19" t="n">
        <v>5</v>
      </c>
      <c r="G22" s="19" t="inlineStr">
        <is>
          <t>Per Each</t>
        </is>
      </c>
      <c r="H22" s="20">
        <f>IFERROR(VLOOKUP(A22,$A$5:$F$14,6,FALSE),"")</f>
        <v/>
      </c>
      <c r="I22" s="20">
        <f>IF(H22&lt;&gt;"",D22*H22,0)</f>
        <v/>
      </c>
    </row>
    <row r="23">
      <c r="A23" s="21" t="inlineStr">
        <is>
          <t>NUS-I0096-06</t>
        </is>
      </c>
      <c r="B23" s="21" t="inlineStr">
        <is>
          <t>6in Standard Straight PC (Pre-Cut)</t>
        </is>
      </c>
      <c r="C23" s="21" t="inlineStr">
        <is>
          <t>ICF FORMS</t>
        </is>
      </c>
      <c r="D23" s="21" t="n">
        <v>47</v>
      </c>
      <c r="E23" s="21" t="n">
        <v>3</v>
      </c>
      <c r="F23" s="21" t="n">
        <v>16</v>
      </c>
      <c r="G23" s="21" t="inlineStr">
        <is>
          <t>Per Each</t>
        </is>
      </c>
      <c r="H23" s="22">
        <f>IFERROR(VLOOKUP(A23,$A$5:$F$14,6,FALSE),"")</f>
        <v/>
      </c>
      <c r="I23" s="22">
        <f>IF(H23&lt;&gt;"",D23*H23,0)</f>
        <v/>
      </c>
    </row>
    <row r="24">
      <c r="A24" s="19" t="inlineStr">
        <is>
          <t>NUS-I0090-06</t>
        </is>
      </c>
      <c r="B24" s="19" t="inlineStr">
        <is>
          <t>6in Standard 90° Corner</t>
        </is>
      </c>
      <c r="C24" s="19" t="inlineStr">
        <is>
          <t>ICF FORMS</t>
        </is>
      </c>
      <c r="D24" s="19" t="n">
        <v>10</v>
      </c>
      <c r="E24" s="19" t="n">
        <v>6</v>
      </c>
      <c r="F24" s="19" t="n">
        <v>2</v>
      </c>
      <c r="G24" s="19" t="inlineStr">
        <is>
          <t>Per Each</t>
        </is>
      </c>
      <c r="H24" s="20">
        <f>IFERROR(VLOOKUP(A24,$A$5:$F$14,6,FALSE),"")</f>
        <v/>
      </c>
      <c r="I24" s="20">
        <f>IF(H24&lt;&gt;"",D24*H24,0)</f>
        <v/>
      </c>
    </row>
    <row r="25">
      <c r="A25" s="21" t="inlineStr">
        <is>
          <t>NUS-IX496-06</t>
        </is>
      </c>
      <c r="B25" s="21" t="inlineStr">
        <is>
          <t>6in XR35 Straight</t>
        </is>
      </c>
      <c r="C25" s="21" t="inlineStr">
        <is>
          <t>ICF FORMS</t>
        </is>
      </c>
      <c r="D25" s="21" t="n">
        <v>27</v>
      </c>
      <c r="E25" s="21" t="n">
        <v>2</v>
      </c>
      <c r="F25" s="21" t="n">
        <v>14</v>
      </c>
      <c r="G25" s="21" t="inlineStr">
        <is>
          <t>Per Each</t>
        </is>
      </c>
      <c r="H25" s="22">
        <f>IFERROR(VLOOKUP(A25,$A$5:$F$14,6,FALSE),"")</f>
        <v/>
      </c>
      <c r="I25" s="22">
        <f>IF(H25&lt;&gt;"",D25*H25,0)</f>
        <v/>
      </c>
    </row>
    <row r="26">
      <c r="A26" s="19" t="inlineStr">
        <is>
          <t>NUS-IX496-06</t>
        </is>
      </c>
      <c r="B26" s="19" t="inlineStr">
        <is>
          <t>6in XR35 Straight PC (Pre-Cut)</t>
        </is>
      </c>
      <c r="C26" s="19" t="inlineStr">
        <is>
          <t>ICF FORMS</t>
        </is>
      </c>
      <c r="D26" s="19" t="n">
        <v>34</v>
      </c>
      <c r="E26" s="19" t="n">
        <v>2</v>
      </c>
      <c r="F26" s="19" t="n">
        <v>17</v>
      </c>
      <c r="G26" s="19" t="inlineStr">
        <is>
          <t>Per Each</t>
        </is>
      </c>
      <c r="H26" s="20">
        <f>IFERROR(VLOOKUP(A26,$A$5:$F$14,6,FALSE),"")</f>
        <v/>
      </c>
      <c r="I26" s="20">
        <f>IF(H26&lt;&gt;"",D26*H26,0)</f>
        <v/>
      </c>
    </row>
    <row r="27">
      <c r="A27" s="21" t="inlineStr">
        <is>
          <t>NUS-IX490-06</t>
        </is>
      </c>
      <c r="B27" s="21" t="inlineStr">
        <is>
          <t>6in XR35 90° Corner</t>
        </is>
      </c>
      <c r="C27" s="21" t="inlineStr">
        <is>
          <t>ICF FORMS</t>
        </is>
      </c>
      <c r="D27" s="21" t="n">
        <v>40</v>
      </c>
      <c r="E27" s="21" t="n">
        <v>4</v>
      </c>
      <c r="F27" s="21" t="n">
        <v>10</v>
      </c>
      <c r="G27" s="21" t="inlineStr">
        <is>
          <t>Per Each</t>
        </is>
      </c>
      <c r="H27" s="22">
        <f>IFERROR(VLOOKUP(A27,$A$5:$F$14,6,FALSE),"")</f>
        <v/>
      </c>
      <c r="I27" s="22">
        <f>IF(H27&lt;&gt;"",D27*H27,0)</f>
        <v/>
      </c>
    </row>
    <row r="28">
      <c r="A28" s="19" t="inlineStr">
        <is>
          <t>NUS-ABLOK-06</t>
        </is>
      </c>
      <c r="B28" s="19" t="inlineStr">
        <is>
          <t>Form-Lock (6in Standard)</t>
        </is>
      </c>
      <c r="C28" s="19" t="inlineStr">
        <is>
          <t>ACCESSORIES</t>
        </is>
      </c>
      <c r="D28" s="19" t="n">
        <v>47</v>
      </c>
      <c r="E28" s="19" t="n">
        <v>10</v>
      </c>
      <c r="F28" s="19" t="n">
        <v>5</v>
      </c>
      <c r="G28" s="19" t="inlineStr">
        <is>
          <t>Per Bundle</t>
        </is>
      </c>
      <c r="H28" s="20">
        <f>IFERROR(VLOOKUP(A28,$A$5:$F$14,6,FALSE),"")</f>
        <v/>
      </c>
      <c r="I28" s="20">
        <f>IF(H28&lt;&gt;"",F28*H28,0)</f>
        <v/>
      </c>
    </row>
    <row r="29">
      <c r="A29" s="21" t="inlineStr">
        <is>
          <t>NUS-ABLOK-06</t>
        </is>
      </c>
      <c r="B29" s="21" t="inlineStr">
        <is>
          <t>Form-Lock (6in XR35)</t>
        </is>
      </c>
      <c r="C29" s="21" t="inlineStr">
        <is>
          <t>ACCESSORIES</t>
        </is>
      </c>
      <c r="D29" s="21" t="n">
        <v>71</v>
      </c>
      <c r="E29" s="21" t="n">
        <v>10</v>
      </c>
      <c r="F29" s="21" t="n">
        <v>8</v>
      </c>
      <c r="G29" s="21" t="inlineStr">
        <is>
          <t>Per Bundle</t>
        </is>
      </c>
      <c r="H29" s="22">
        <f>IFERROR(VLOOKUP(A29,$A$5:$F$14,6,FALSE),"")</f>
        <v/>
      </c>
      <c r="I29" s="22">
        <f>IF(H29&lt;&gt;"",F29*H29,0)</f>
        <v/>
      </c>
    </row>
    <row r="30">
      <c r="A30" s="19" t="inlineStr">
        <is>
          <t>NUS-SF-BOX</t>
        </is>
      </c>
      <c r="B30" s="19" t="inlineStr">
        <is>
          <t>Spray Foam Cans</t>
        </is>
      </c>
      <c r="C30" s="19" t="inlineStr">
        <is>
          <t>ACCESSORIES</t>
        </is>
      </c>
      <c r="D30" s="19" t="n">
        <v>7</v>
      </c>
      <c r="E30" s="19" t="n">
        <v>12</v>
      </c>
      <c r="F30" s="19" t="n">
        <v>1</v>
      </c>
      <c r="G30" s="19" t="inlineStr">
        <is>
          <t>Per Bundle</t>
        </is>
      </c>
      <c r="H30" s="20">
        <f>IFERROR(VLOOKUP(A30,$A$5:$F$14,6,FALSE),"")</f>
        <v/>
      </c>
      <c r="I30" s="20">
        <f>IF(H30&lt;&gt;"",F30*H30,0)</f>
        <v/>
      </c>
    </row>
    <row r="31">
      <c r="A31" s="21" t="inlineStr">
        <is>
          <t>NUS-ATSTP-00</t>
        </is>
      </c>
      <c r="B31" s="21" t="inlineStr">
        <is>
          <t>T-Form Support Straps</t>
        </is>
      </c>
      <c r="C31" s="21" t="inlineStr">
        <is>
          <t>ACCESSORIES</t>
        </is>
      </c>
      <c r="D31" s="21" t="n">
        <v>56</v>
      </c>
      <c r="E31" s="21" t="n">
        <v>30</v>
      </c>
      <c r="F31" s="21" t="n">
        <v>2</v>
      </c>
      <c r="G31" s="21" t="inlineStr">
        <is>
          <t>Per Each</t>
        </is>
      </c>
      <c r="H31" s="22">
        <f>IFERROR(VLOOKUP(A31,$A$5:$F$14,6,FALSE),"")</f>
        <v/>
      </c>
      <c r="I31" s="22">
        <f>IF(H31&lt;&gt;"",D31*H31,0)</f>
        <v/>
      </c>
    </row>
    <row r="32">
      <c r="A32" s="19" t="inlineStr">
        <is>
          <t>NUS-A0VJC-00</t>
        </is>
      </c>
      <c r="B32" s="19" t="inlineStr">
        <is>
          <t>Vertical Joint Clips</t>
        </is>
      </c>
      <c r="C32" s="19" t="inlineStr">
        <is>
          <t>ACCESSORIES</t>
        </is>
      </c>
      <c r="D32" s="19" t="n">
        <v>708</v>
      </c>
      <c r="E32" s="19" t="n">
        <v>200</v>
      </c>
      <c r="F32" s="19" t="n">
        <v>4</v>
      </c>
      <c r="G32" s="19" t="inlineStr">
        <is>
          <t>Per Each</t>
        </is>
      </c>
      <c r="H32" s="20">
        <f>IFERROR(VLOOKUP(A32,$A$5:$F$14,6,FALSE),"")</f>
        <v/>
      </c>
      <c r="I32" s="20">
        <f>IF(H32&lt;&gt;"",D32*H32,0)</f>
        <v/>
      </c>
    </row>
    <row r="33">
      <c r="A33" s="17" t="inlineStr">
        <is>
          <t>Plot B1 - L1</t>
        </is>
      </c>
      <c r="B33" s="7" t="n"/>
      <c r="C33" s="7" t="n"/>
      <c r="D33" s="7" t="n"/>
      <c r="E33" s="7" t="n"/>
      <c r="F33" s="7" t="n"/>
      <c r="G33" s="7" t="n"/>
      <c r="H33" s="7" t="n"/>
      <c r="I33" s="8" t="n"/>
    </row>
    <row r="34">
      <c r="A34" s="19" t="inlineStr">
        <is>
          <t>NUS-I0096-06</t>
        </is>
      </c>
      <c r="B34" s="19" t="inlineStr">
        <is>
          <t>6in Standard Straight</t>
        </is>
      </c>
      <c r="C34" s="19" t="inlineStr">
        <is>
          <t>ICF FORMS</t>
        </is>
      </c>
      <c r="D34" s="19" t="n">
        <v>72</v>
      </c>
      <c r="E34" s="19" t="n">
        <v>3</v>
      </c>
      <c r="F34" s="19" t="n">
        <v>24</v>
      </c>
      <c r="G34" s="19" t="inlineStr">
        <is>
          <t>Per Each</t>
        </is>
      </c>
      <c r="H34" s="20">
        <f>IFERROR(VLOOKUP(A34,$A$5:$F$14,6,FALSE),"")</f>
        <v/>
      </c>
      <c r="I34" s="20">
        <f>IF(H34&lt;&gt;"",D34*H34,0)</f>
        <v/>
      </c>
    </row>
    <row r="35">
      <c r="A35" s="21" t="inlineStr">
        <is>
          <t>NUS-I0096-06</t>
        </is>
      </c>
      <c r="B35" s="21" t="inlineStr">
        <is>
          <t>6in Standard Straight PC (Pre-Cut)</t>
        </is>
      </c>
      <c r="C35" s="21" t="inlineStr">
        <is>
          <t>ICF FORMS</t>
        </is>
      </c>
      <c r="D35" s="21" t="n">
        <v>133</v>
      </c>
      <c r="E35" s="21" t="n">
        <v>3</v>
      </c>
      <c r="F35" s="21" t="n">
        <v>45</v>
      </c>
      <c r="G35" s="21" t="inlineStr">
        <is>
          <t>Per Each</t>
        </is>
      </c>
      <c r="H35" s="22">
        <f>IFERROR(VLOOKUP(A35,$A$5:$F$14,6,FALSE),"")</f>
        <v/>
      </c>
      <c r="I35" s="22">
        <f>IF(H35&lt;&gt;"",D35*H35,0)</f>
        <v/>
      </c>
    </row>
    <row r="36">
      <c r="A36" s="19" t="inlineStr">
        <is>
          <t>NUS-I0090-06</t>
        </is>
      </c>
      <c r="B36" s="19" t="inlineStr">
        <is>
          <t>6in Standard 90° Corner</t>
        </is>
      </c>
      <c r="C36" s="19" t="inlineStr">
        <is>
          <t>ICF FORMS</t>
        </is>
      </c>
      <c r="D36" s="19" t="n">
        <v>58</v>
      </c>
      <c r="E36" s="19" t="n">
        <v>6</v>
      </c>
      <c r="F36" s="19" t="n">
        <v>10</v>
      </c>
      <c r="G36" s="19" t="inlineStr">
        <is>
          <t>Per Each</t>
        </is>
      </c>
      <c r="H36" s="20">
        <f>IFERROR(VLOOKUP(A36,$A$5:$F$14,6,FALSE),"")</f>
        <v/>
      </c>
      <c r="I36" s="20">
        <f>IF(H36&lt;&gt;"",D36*H36,0)</f>
        <v/>
      </c>
    </row>
    <row r="37">
      <c r="A37" s="21" t="inlineStr">
        <is>
          <t>NUS-IX496-06</t>
        </is>
      </c>
      <c r="B37" s="21" t="inlineStr">
        <is>
          <t>6in XR35 Straight</t>
        </is>
      </c>
      <c r="C37" s="21" t="inlineStr">
        <is>
          <t>ICF FORMS</t>
        </is>
      </c>
      <c r="D37" s="21" t="n">
        <v>32</v>
      </c>
      <c r="E37" s="21" t="n">
        <v>2</v>
      </c>
      <c r="F37" s="21" t="n">
        <v>16</v>
      </c>
      <c r="G37" s="21" t="inlineStr">
        <is>
          <t>Per Each</t>
        </is>
      </c>
      <c r="H37" s="22">
        <f>IFERROR(VLOOKUP(A37,$A$5:$F$14,6,FALSE),"")</f>
        <v/>
      </c>
      <c r="I37" s="22">
        <f>IF(H37&lt;&gt;"",D37*H37,0)</f>
        <v/>
      </c>
    </row>
    <row r="38">
      <c r="A38" s="19" t="inlineStr">
        <is>
          <t>NUS-IX496-06</t>
        </is>
      </c>
      <c r="B38" s="19" t="inlineStr">
        <is>
          <t>6in XR35 Straight PC (Pre-Cut)</t>
        </is>
      </c>
      <c r="C38" s="19" t="inlineStr">
        <is>
          <t>ICF FORMS</t>
        </is>
      </c>
      <c r="D38" s="19" t="n">
        <v>104</v>
      </c>
      <c r="E38" s="19" t="n">
        <v>2</v>
      </c>
      <c r="F38" s="19" t="n">
        <v>52</v>
      </c>
      <c r="G38" s="19" t="inlineStr">
        <is>
          <t>Per Each</t>
        </is>
      </c>
      <c r="H38" s="20">
        <f>IFERROR(VLOOKUP(A38,$A$5:$F$14,6,FALSE),"")</f>
        <v/>
      </c>
      <c r="I38" s="20">
        <f>IF(H38&lt;&gt;"",D38*H38,0)</f>
        <v/>
      </c>
    </row>
    <row r="39">
      <c r="A39" s="21" t="inlineStr">
        <is>
          <t>NUS-IX490-06</t>
        </is>
      </c>
      <c r="B39" s="21" t="inlineStr">
        <is>
          <t>6in XR35 90° Corner</t>
        </is>
      </c>
      <c r="C39" s="21" t="inlineStr">
        <is>
          <t>ICF FORMS</t>
        </is>
      </c>
      <c r="D39" s="21" t="n">
        <v>120</v>
      </c>
      <c r="E39" s="21" t="n">
        <v>4</v>
      </c>
      <c r="F39" s="21" t="n">
        <v>30</v>
      </c>
      <c r="G39" s="21" t="inlineStr">
        <is>
          <t>Per Each</t>
        </is>
      </c>
      <c r="H39" s="22">
        <f>IFERROR(VLOOKUP(A39,$A$5:$F$14,6,FALSE),"")</f>
        <v/>
      </c>
      <c r="I39" s="22">
        <f>IF(H39&lt;&gt;"",D39*H39,0)</f>
        <v/>
      </c>
    </row>
    <row r="40">
      <c r="A40" s="19" t="inlineStr">
        <is>
          <t>NUS-A0ECF-06</t>
        </is>
      </c>
      <c r="B40" s="19" t="inlineStr">
        <is>
          <t>End Caps (6in XR35)</t>
        </is>
      </c>
      <c r="C40" s="19" t="inlineStr">
        <is>
          <t>ACCESSORIES</t>
        </is>
      </c>
      <c r="D40" s="19" t="n">
        <v>256</v>
      </c>
      <c r="E40" s="19" t="n">
        <v>40</v>
      </c>
      <c r="F40" s="19" t="n">
        <v>7</v>
      </c>
      <c r="G40" s="19" t="inlineStr">
        <is>
          <t>Per Bundle</t>
        </is>
      </c>
      <c r="H40" s="20">
        <f>IFERROR(VLOOKUP(A40,$A$5:$F$14,6,FALSE),"")</f>
        <v/>
      </c>
      <c r="I40" s="20">
        <f>IF(H40&lt;&gt;"",F40*H40,0)</f>
        <v/>
      </c>
    </row>
    <row r="41">
      <c r="A41" s="21" t="inlineStr">
        <is>
          <t>NUS-ABLOK-06</t>
        </is>
      </c>
      <c r="B41" s="21" t="inlineStr">
        <is>
          <t>Form-Lock (6in Standard)</t>
        </is>
      </c>
      <c r="C41" s="21" t="inlineStr">
        <is>
          <t>ACCESSORIES</t>
        </is>
      </c>
      <c r="D41" s="21" t="n">
        <v>26</v>
      </c>
      <c r="E41" s="21" t="n">
        <v>10</v>
      </c>
      <c r="F41" s="21" t="n">
        <v>3</v>
      </c>
      <c r="G41" s="21" t="inlineStr">
        <is>
          <t>Per Bundle</t>
        </is>
      </c>
      <c r="H41" s="22">
        <f>IFERROR(VLOOKUP(A41,$A$5:$F$14,6,FALSE),"")</f>
        <v/>
      </c>
      <c r="I41" s="22">
        <f>IF(H41&lt;&gt;"",F41*H41,0)</f>
        <v/>
      </c>
    </row>
    <row r="42">
      <c r="A42" s="19" t="inlineStr">
        <is>
          <t>NUS-ABLOK-06</t>
        </is>
      </c>
      <c r="B42" s="19" t="inlineStr">
        <is>
          <t>Form-Lock (6in XR35)</t>
        </is>
      </c>
      <c r="C42" s="19" t="inlineStr">
        <is>
          <t>ACCESSORIES</t>
        </is>
      </c>
      <c r="D42" s="19" t="n">
        <v>32</v>
      </c>
      <c r="E42" s="19" t="n">
        <v>10</v>
      </c>
      <c r="F42" s="19" t="n">
        <v>4</v>
      </c>
      <c r="G42" s="19" t="inlineStr">
        <is>
          <t>Per Bundle</t>
        </is>
      </c>
      <c r="H42" s="20">
        <f>IFERROR(VLOOKUP(A42,$A$5:$F$14,6,FALSE),"")</f>
        <v/>
      </c>
      <c r="I42" s="20">
        <f>IF(H42&lt;&gt;"",F42*H42,0)</f>
        <v/>
      </c>
    </row>
    <row r="43">
      <c r="A43" s="21" t="inlineStr">
        <is>
          <t>NUS-PLINT-06</t>
        </is>
      </c>
      <c r="B43" s="21" t="inlineStr">
        <is>
          <t>Lintel Closures (6in XR35)</t>
        </is>
      </c>
      <c r="C43" s="21" t="inlineStr">
        <is>
          <t>ACCESSORIES</t>
        </is>
      </c>
      <c r="D43" s="21" t="n">
        <v>81</v>
      </c>
      <c r="E43" s="21" t="n">
        <v>60</v>
      </c>
      <c r="F43" s="21" t="n">
        <v>2</v>
      </c>
      <c r="G43" s="21" t="inlineStr">
        <is>
          <t>Per Each</t>
        </is>
      </c>
      <c r="H43" s="22">
        <f>IFERROR(VLOOKUP(A43,$A$5:$F$14,6,FALSE),"")</f>
        <v/>
      </c>
      <c r="I43" s="22">
        <f>IF(H43&lt;&gt;"",D43*H43,0)</f>
        <v/>
      </c>
    </row>
    <row r="44">
      <c r="A44" s="19" t="inlineStr">
        <is>
          <t>NUS-SF-BOX</t>
        </is>
      </c>
      <c r="B44" s="19" t="inlineStr">
        <is>
          <t>Spray Foam Cans</t>
        </is>
      </c>
      <c r="C44" s="19" t="inlineStr">
        <is>
          <t>ACCESSORIES</t>
        </is>
      </c>
      <c r="D44" s="19" t="n">
        <v>36</v>
      </c>
      <c r="E44" s="19" t="n">
        <v>12</v>
      </c>
      <c r="F44" s="19" t="n">
        <v>3</v>
      </c>
      <c r="G44" s="19" t="inlineStr">
        <is>
          <t>Per Bundle</t>
        </is>
      </c>
      <c r="H44" s="20">
        <f>IFERROR(VLOOKUP(A44,$A$5:$F$14,6,FALSE),"")</f>
        <v/>
      </c>
      <c r="I44" s="20">
        <f>IF(H44&lt;&gt;"",F44*H44,0)</f>
        <v/>
      </c>
    </row>
    <row r="45">
      <c r="A45" s="21" t="inlineStr">
        <is>
          <t>NUS-ATSTP-00</t>
        </is>
      </c>
      <c r="B45" s="21" t="inlineStr">
        <is>
          <t>T-Form Support Straps</t>
        </is>
      </c>
      <c r="C45" s="21" t="inlineStr">
        <is>
          <t>ACCESSORIES</t>
        </is>
      </c>
      <c r="D45" s="21" t="n">
        <v>60</v>
      </c>
      <c r="E45" s="21" t="n">
        <v>30</v>
      </c>
      <c r="F45" s="21" t="n">
        <v>2</v>
      </c>
      <c r="G45" s="21" t="inlineStr">
        <is>
          <t>Per Each</t>
        </is>
      </c>
      <c r="H45" s="22">
        <f>IFERROR(VLOOKUP(A45,$A$5:$F$14,6,FALSE),"")</f>
        <v/>
      </c>
      <c r="I45" s="22">
        <f>IF(H45&lt;&gt;"",D45*H45,0)</f>
        <v/>
      </c>
    </row>
    <row r="46">
      <c r="A46" s="19" t="inlineStr">
        <is>
          <t>NUS-A0VJC-00</t>
        </is>
      </c>
      <c r="B46" s="19" t="inlineStr">
        <is>
          <t>Vertical Joint Clips</t>
        </is>
      </c>
      <c r="C46" s="19" t="inlineStr">
        <is>
          <t>ACCESSORIES</t>
        </is>
      </c>
      <c r="D46" s="19" t="n">
        <v>1930</v>
      </c>
      <c r="E46" s="19" t="n">
        <v>200</v>
      </c>
      <c r="F46" s="19" t="n">
        <v>10</v>
      </c>
      <c r="G46" s="19" t="inlineStr">
        <is>
          <t>Per Each</t>
        </is>
      </c>
      <c r="H46" s="20">
        <f>IFERROR(VLOOKUP(A46,$A$5:$F$14,6,FALSE),"")</f>
        <v/>
      </c>
      <c r="I46" s="20">
        <f>IF(H46&lt;&gt;"",D46*H46,0)</f>
        <v/>
      </c>
    </row>
    <row r="47">
      <c r="A47" s="17" t="inlineStr">
        <is>
          <t>Plot B1 - L2</t>
        </is>
      </c>
      <c r="B47" s="7" t="n"/>
      <c r="C47" s="7" t="n"/>
      <c r="D47" s="7" t="n"/>
      <c r="E47" s="7" t="n"/>
      <c r="F47" s="7" t="n"/>
      <c r="G47" s="7" t="n"/>
      <c r="H47" s="7" t="n"/>
      <c r="I47" s="8" t="n"/>
    </row>
    <row r="48">
      <c r="A48" s="19" t="inlineStr">
        <is>
          <t>NUS-I0096-06</t>
        </is>
      </c>
      <c r="B48" s="19" t="inlineStr">
        <is>
          <t>6in Standard Straight</t>
        </is>
      </c>
      <c r="C48" s="19" t="inlineStr">
        <is>
          <t>ICF FORMS</t>
        </is>
      </c>
      <c r="D48" s="19" t="n">
        <v>42</v>
      </c>
      <c r="E48" s="19" t="n">
        <v>3</v>
      </c>
      <c r="F48" s="19" t="n">
        <v>14</v>
      </c>
      <c r="G48" s="19" t="inlineStr">
        <is>
          <t>Per Each</t>
        </is>
      </c>
      <c r="H48" s="20">
        <f>IFERROR(VLOOKUP(A48,$A$5:$F$14,6,FALSE),"")</f>
        <v/>
      </c>
      <c r="I48" s="20">
        <f>IF(H48&lt;&gt;"",D48*H48,0)</f>
        <v/>
      </c>
    </row>
    <row r="49">
      <c r="A49" s="21" t="inlineStr">
        <is>
          <t>NUS-I0096-06</t>
        </is>
      </c>
      <c r="B49" s="21" t="inlineStr">
        <is>
          <t>6in Standard Straight PC (Pre-Cut)</t>
        </is>
      </c>
      <c r="C49" s="21" t="inlineStr">
        <is>
          <t>ICF FORMS</t>
        </is>
      </c>
      <c r="D49" s="21" t="n">
        <v>128</v>
      </c>
      <c r="E49" s="21" t="n">
        <v>3</v>
      </c>
      <c r="F49" s="21" t="n">
        <v>43</v>
      </c>
      <c r="G49" s="21" t="inlineStr">
        <is>
          <t>Per Each</t>
        </is>
      </c>
      <c r="H49" s="22">
        <f>IFERROR(VLOOKUP(A49,$A$5:$F$14,6,FALSE),"")</f>
        <v/>
      </c>
      <c r="I49" s="22">
        <f>IF(H49&lt;&gt;"",D49*H49,0)</f>
        <v/>
      </c>
    </row>
    <row r="50">
      <c r="A50" s="19" t="inlineStr">
        <is>
          <t>NUS-I0090-06</t>
        </is>
      </c>
      <c r="B50" s="19" t="inlineStr">
        <is>
          <t>6in Standard 90° Corner</t>
        </is>
      </c>
      <c r="C50" s="19" t="inlineStr">
        <is>
          <t>ICF FORMS</t>
        </is>
      </c>
      <c r="D50" s="19" t="n">
        <v>42</v>
      </c>
      <c r="E50" s="19" t="n">
        <v>6</v>
      </c>
      <c r="F50" s="19" t="n">
        <v>7</v>
      </c>
      <c r="G50" s="19" t="inlineStr">
        <is>
          <t>Per Each</t>
        </is>
      </c>
      <c r="H50" s="20">
        <f>IFERROR(VLOOKUP(A50,$A$5:$F$14,6,FALSE),"")</f>
        <v/>
      </c>
      <c r="I50" s="20">
        <f>IF(H50&lt;&gt;"",D50*H50,0)</f>
        <v/>
      </c>
    </row>
    <row r="51">
      <c r="A51" s="21" t="inlineStr">
        <is>
          <t>NUS-IX496-06</t>
        </is>
      </c>
      <c r="B51" s="21" t="inlineStr">
        <is>
          <t>6in XR35 Straight</t>
        </is>
      </c>
      <c r="C51" s="21" t="inlineStr">
        <is>
          <t>ICF FORMS</t>
        </is>
      </c>
      <c r="D51" s="21" t="n">
        <v>23</v>
      </c>
      <c r="E51" s="21" t="n">
        <v>2</v>
      </c>
      <c r="F51" s="21" t="n">
        <v>12</v>
      </c>
      <c r="G51" s="21" t="inlineStr">
        <is>
          <t>Per Each</t>
        </is>
      </c>
      <c r="H51" s="22">
        <f>IFERROR(VLOOKUP(A51,$A$5:$F$14,6,FALSE),"")</f>
        <v/>
      </c>
      <c r="I51" s="22">
        <f>IF(H51&lt;&gt;"",D51*H51,0)</f>
        <v/>
      </c>
    </row>
    <row r="52">
      <c r="A52" s="19" t="inlineStr">
        <is>
          <t>NUS-IX496-06</t>
        </is>
      </c>
      <c r="B52" s="19" t="inlineStr">
        <is>
          <t>6in XR35 Straight PC (Pre-Cut)</t>
        </is>
      </c>
      <c r="C52" s="19" t="inlineStr">
        <is>
          <t>ICF FORMS</t>
        </is>
      </c>
      <c r="D52" s="19" t="n">
        <v>122</v>
      </c>
      <c r="E52" s="19" t="n">
        <v>2</v>
      </c>
      <c r="F52" s="19" t="n">
        <v>61</v>
      </c>
      <c r="G52" s="19" t="inlineStr">
        <is>
          <t>Per Each</t>
        </is>
      </c>
      <c r="H52" s="20">
        <f>IFERROR(VLOOKUP(A52,$A$5:$F$14,6,FALSE),"")</f>
        <v/>
      </c>
      <c r="I52" s="20">
        <f>IF(H52&lt;&gt;"",D52*H52,0)</f>
        <v/>
      </c>
    </row>
    <row r="53">
      <c r="A53" s="21" t="inlineStr">
        <is>
          <t>NUS-IX490-06</t>
        </is>
      </c>
      <c r="B53" s="21" t="inlineStr">
        <is>
          <t>6in XR35 90° Corner</t>
        </is>
      </c>
      <c r="C53" s="21" t="inlineStr">
        <is>
          <t>ICF FORMS</t>
        </is>
      </c>
      <c r="D53" s="21" t="n">
        <v>120</v>
      </c>
      <c r="E53" s="21" t="n">
        <v>4</v>
      </c>
      <c r="F53" s="21" t="n">
        <v>30</v>
      </c>
      <c r="G53" s="21" t="inlineStr">
        <is>
          <t>Per Each</t>
        </is>
      </c>
      <c r="H53" s="22">
        <f>IFERROR(VLOOKUP(A53,$A$5:$F$14,6,FALSE),"")</f>
        <v/>
      </c>
      <c r="I53" s="22">
        <f>IF(H53&lt;&gt;"",D53*H53,0)</f>
        <v/>
      </c>
    </row>
    <row r="54">
      <c r="A54" s="19" t="inlineStr">
        <is>
          <t>NUS-A0ECF-06</t>
        </is>
      </c>
      <c r="B54" s="19" t="inlineStr">
        <is>
          <t>End Caps (6in XR35)</t>
        </is>
      </c>
      <c r="C54" s="19" t="inlineStr">
        <is>
          <t>ACCESSORIES</t>
        </is>
      </c>
      <c r="D54" s="19" t="n">
        <v>244</v>
      </c>
      <c r="E54" s="19" t="n">
        <v>40</v>
      </c>
      <c r="F54" s="19" t="n">
        <v>7</v>
      </c>
      <c r="G54" s="19" t="inlineStr">
        <is>
          <t>Per Bundle</t>
        </is>
      </c>
      <c r="H54" s="20">
        <f>IFERROR(VLOOKUP(A54,$A$5:$F$14,6,FALSE),"")</f>
        <v/>
      </c>
      <c r="I54" s="20">
        <f>IF(H54&lt;&gt;"",F54*H54,0)</f>
        <v/>
      </c>
    </row>
    <row r="55">
      <c r="A55" s="21" t="inlineStr">
        <is>
          <t>NUS-ABLOK-06</t>
        </is>
      </c>
      <c r="B55" s="21" t="inlineStr">
        <is>
          <t>Form-Lock (6in Standard)</t>
        </is>
      </c>
      <c r="C55" s="21" t="inlineStr">
        <is>
          <t>ACCESSORIES</t>
        </is>
      </c>
      <c r="D55" s="21" t="n">
        <v>47</v>
      </c>
      <c r="E55" s="21" t="n">
        <v>10</v>
      </c>
      <c r="F55" s="21" t="n">
        <v>5</v>
      </c>
      <c r="G55" s="21" t="inlineStr">
        <is>
          <t>Per Bundle</t>
        </is>
      </c>
      <c r="H55" s="22">
        <f>IFERROR(VLOOKUP(A55,$A$5:$F$14,6,FALSE),"")</f>
        <v/>
      </c>
      <c r="I55" s="22">
        <f>IF(H55&lt;&gt;"",F55*H55,0)</f>
        <v/>
      </c>
    </row>
    <row r="56">
      <c r="A56" s="19" t="inlineStr">
        <is>
          <t>NUS-ABLOK-06</t>
        </is>
      </c>
      <c r="B56" s="19" t="inlineStr">
        <is>
          <t>Form-Lock (6in XR35)</t>
        </is>
      </c>
      <c r="C56" s="19" t="inlineStr">
        <is>
          <t>ACCESSORIES</t>
        </is>
      </c>
      <c r="D56" s="19" t="n">
        <v>73</v>
      </c>
      <c r="E56" s="19" t="n">
        <v>10</v>
      </c>
      <c r="F56" s="19" t="n">
        <v>8</v>
      </c>
      <c r="G56" s="19" t="inlineStr">
        <is>
          <t>Per Bundle</t>
        </is>
      </c>
      <c r="H56" s="20">
        <f>IFERROR(VLOOKUP(A56,$A$5:$F$14,6,FALSE),"")</f>
        <v/>
      </c>
      <c r="I56" s="20">
        <f>IF(H56&lt;&gt;"",F56*H56,0)</f>
        <v/>
      </c>
    </row>
    <row r="57">
      <c r="A57" s="21" t="inlineStr">
        <is>
          <t>NUS-PLINT-06</t>
        </is>
      </c>
      <c r="B57" s="21" t="inlineStr">
        <is>
          <t>Lintel Closures (6in XR35)</t>
        </is>
      </c>
      <c r="C57" s="21" t="inlineStr">
        <is>
          <t>ACCESSORIES</t>
        </is>
      </c>
      <c r="D57" s="21" t="n">
        <v>82</v>
      </c>
      <c r="E57" s="21" t="n">
        <v>60</v>
      </c>
      <c r="F57" s="21" t="n">
        <v>2</v>
      </c>
      <c r="G57" s="21" t="inlineStr">
        <is>
          <t>Per Each</t>
        </is>
      </c>
      <c r="H57" s="22">
        <f>IFERROR(VLOOKUP(A57,$A$5:$F$14,6,FALSE),"")</f>
        <v/>
      </c>
      <c r="I57" s="22">
        <f>IF(H57&lt;&gt;"",D57*H57,0)</f>
        <v/>
      </c>
    </row>
    <row r="58">
      <c r="A58" s="19" t="inlineStr">
        <is>
          <t>NUS-SF-BOX</t>
        </is>
      </c>
      <c r="B58" s="19" t="inlineStr">
        <is>
          <t>Spray Foam Cans</t>
        </is>
      </c>
      <c r="C58" s="19" t="inlineStr">
        <is>
          <t>ACCESSORIES</t>
        </is>
      </c>
      <c r="D58" s="19" t="n">
        <v>32</v>
      </c>
      <c r="E58" s="19" t="n">
        <v>12</v>
      </c>
      <c r="F58" s="19" t="n">
        <v>3</v>
      </c>
      <c r="G58" s="19" t="inlineStr">
        <is>
          <t>Per Bundle</t>
        </is>
      </c>
      <c r="H58" s="20">
        <f>IFERROR(VLOOKUP(A58,$A$5:$F$14,6,FALSE),"")</f>
        <v/>
      </c>
      <c r="I58" s="20">
        <f>IF(H58&lt;&gt;"",F58*H58,0)</f>
        <v/>
      </c>
    </row>
    <row r="59">
      <c r="A59" s="21" t="inlineStr">
        <is>
          <t>NUS-ATSTP-00</t>
        </is>
      </c>
      <c r="B59" s="21" t="inlineStr">
        <is>
          <t>T-Form Support Straps</t>
        </is>
      </c>
      <c r="C59" s="21" t="inlineStr">
        <is>
          <t>ACCESSORIES</t>
        </is>
      </c>
      <c r="D59" s="21" t="n">
        <v>204</v>
      </c>
      <c r="E59" s="21" t="n">
        <v>30</v>
      </c>
      <c r="F59" s="21" t="n">
        <v>7</v>
      </c>
      <c r="G59" s="21" t="inlineStr">
        <is>
          <t>Per Each</t>
        </is>
      </c>
      <c r="H59" s="22">
        <f>IFERROR(VLOOKUP(A59,$A$5:$F$14,6,FALSE),"")</f>
        <v/>
      </c>
      <c r="I59" s="22">
        <f>IF(H59&lt;&gt;"",D59*H59,0)</f>
        <v/>
      </c>
    </row>
    <row r="60">
      <c r="A60" s="19" t="inlineStr">
        <is>
          <t>NUS-A0VJC-00</t>
        </is>
      </c>
      <c r="B60" s="19" t="inlineStr">
        <is>
          <t>Vertical Joint Clips</t>
        </is>
      </c>
      <c r="C60" s="19" t="inlineStr">
        <is>
          <t>ACCESSORIES</t>
        </is>
      </c>
      <c r="D60" s="19" t="n">
        <v>1810</v>
      </c>
      <c r="E60" s="19" t="n">
        <v>200</v>
      </c>
      <c r="F60" s="19" t="n">
        <v>10</v>
      </c>
      <c r="G60" s="19" t="inlineStr">
        <is>
          <t>Per Each</t>
        </is>
      </c>
      <c r="H60" s="20">
        <f>IFERROR(VLOOKUP(A60,$A$5:$F$14,6,FALSE),"")</f>
        <v/>
      </c>
      <c r="I60" s="20">
        <f>IF(H60&lt;&gt;"",D60*H60,0)</f>
        <v/>
      </c>
    </row>
    <row r="61">
      <c r="A61" s="17" t="inlineStr">
        <is>
          <t>Plot B1 - L3</t>
        </is>
      </c>
      <c r="B61" s="7" t="n"/>
      <c r="C61" s="7" t="n"/>
      <c r="D61" s="7" t="n"/>
      <c r="E61" s="7" t="n"/>
      <c r="F61" s="7" t="n"/>
      <c r="G61" s="7" t="n"/>
      <c r="H61" s="7" t="n"/>
      <c r="I61" s="8" t="n"/>
    </row>
    <row r="62">
      <c r="A62" s="19" t="inlineStr">
        <is>
          <t>NUS-I0096-06</t>
        </is>
      </c>
      <c r="B62" s="19" t="inlineStr">
        <is>
          <t>6in Standard Straight</t>
        </is>
      </c>
      <c r="C62" s="19" t="inlineStr">
        <is>
          <t>ICF FORMS</t>
        </is>
      </c>
      <c r="D62" s="19" t="n">
        <v>72</v>
      </c>
      <c r="E62" s="19" t="n">
        <v>3</v>
      </c>
      <c r="F62" s="19" t="n">
        <v>24</v>
      </c>
      <c r="G62" s="19" t="inlineStr">
        <is>
          <t>Per Each</t>
        </is>
      </c>
      <c r="H62" s="20">
        <f>IFERROR(VLOOKUP(A62,$A$5:$F$14,6,FALSE),"")</f>
        <v/>
      </c>
      <c r="I62" s="20">
        <f>IF(H62&lt;&gt;"",D62*H62,0)</f>
        <v/>
      </c>
    </row>
    <row r="63">
      <c r="A63" s="21" t="inlineStr">
        <is>
          <t>NUS-I0096-06</t>
        </is>
      </c>
      <c r="B63" s="21" t="inlineStr">
        <is>
          <t>6in Standard Straight PC (Pre-Cut)</t>
        </is>
      </c>
      <c r="C63" s="21" t="inlineStr">
        <is>
          <t>ICF FORMS</t>
        </is>
      </c>
      <c r="D63" s="21" t="n">
        <v>237</v>
      </c>
      <c r="E63" s="21" t="n">
        <v>3</v>
      </c>
      <c r="F63" s="21" t="n">
        <v>79</v>
      </c>
      <c r="G63" s="21" t="inlineStr">
        <is>
          <t>Per Each</t>
        </is>
      </c>
      <c r="H63" s="22">
        <f>IFERROR(VLOOKUP(A63,$A$5:$F$14,6,FALSE),"")</f>
        <v/>
      </c>
      <c r="I63" s="22">
        <f>IF(H63&lt;&gt;"",D63*H63,0)</f>
        <v/>
      </c>
    </row>
    <row r="64">
      <c r="A64" s="19" t="inlineStr">
        <is>
          <t>NUS-I0090-06</t>
        </is>
      </c>
      <c r="B64" s="19" t="inlineStr">
        <is>
          <t>6in Standard 90° Corner</t>
        </is>
      </c>
      <c r="C64" s="19" t="inlineStr">
        <is>
          <t>ICF FORMS</t>
        </is>
      </c>
      <c r="D64" s="19" t="n">
        <v>80</v>
      </c>
      <c r="E64" s="19" t="n">
        <v>6</v>
      </c>
      <c r="F64" s="19" t="n">
        <v>14</v>
      </c>
      <c r="G64" s="19" t="inlineStr">
        <is>
          <t>Per Each</t>
        </is>
      </c>
      <c r="H64" s="20">
        <f>IFERROR(VLOOKUP(A64,$A$5:$F$14,6,FALSE),"")</f>
        <v/>
      </c>
      <c r="I64" s="20">
        <f>IF(H64&lt;&gt;"",D64*H64,0)</f>
        <v/>
      </c>
    </row>
    <row r="65">
      <c r="A65" s="21" t="inlineStr">
        <is>
          <t>NUS-IX496-06</t>
        </is>
      </c>
      <c r="B65" s="21" t="inlineStr">
        <is>
          <t>6in XR35 Straight</t>
        </is>
      </c>
      <c r="C65" s="21" t="inlineStr">
        <is>
          <t>ICF FORMS</t>
        </is>
      </c>
      <c r="D65" s="21" t="n">
        <v>34</v>
      </c>
      <c r="E65" s="21" t="n">
        <v>2</v>
      </c>
      <c r="F65" s="21" t="n">
        <v>17</v>
      </c>
      <c r="G65" s="21" t="inlineStr">
        <is>
          <t>Per Each</t>
        </is>
      </c>
      <c r="H65" s="22">
        <f>IFERROR(VLOOKUP(A65,$A$5:$F$14,6,FALSE),"")</f>
        <v/>
      </c>
      <c r="I65" s="22">
        <f>IF(H65&lt;&gt;"",D65*H65,0)</f>
        <v/>
      </c>
    </row>
    <row r="66">
      <c r="A66" s="19" t="inlineStr">
        <is>
          <t>NUS-IX496-06</t>
        </is>
      </c>
      <c r="B66" s="19" t="inlineStr">
        <is>
          <t>6in XR35 Straight PC (Pre-Cut)</t>
        </is>
      </c>
      <c r="C66" s="19" t="inlineStr">
        <is>
          <t>ICF FORMS</t>
        </is>
      </c>
      <c r="D66" s="19" t="n">
        <v>156</v>
      </c>
      <c r="E66" s="19" t="n">
        <v>2</v>
      </c>
      <c r="F66" s="19" t="n">
        <v>78</v>
      </c>
      <c r="G66" s="19" t="inlineStr">
        <is>
          <t>Per Each</t>
        </is>
      </c>
      <c r="H66" s="20">
        <f>IFERROR(VLOOKUP(A66,$A$5:$F$14,6,FALSE),"")</f>
        <v/>
      </c>
      <c r="I66" s="20">
        <f>IF(H66&lt;&gt;"",D66*H66,0)</f>
        <v/>
      </c>
    </row>
    <row r="67">
      <c r="A67" s="21" t="inlineStr">
        <is>
          <t>NUS-IX490-06</t>
        </is>
      </c>
      <c r="B67" s="21" t="inlineStr">
        <is>
          <t>6in XR35 90° Corner</t>
        </is>
      </c>
      <c r="C67" s="21" t="inlineStr">
        <is>
          <t>ICF FORMS</t>
        </is>
      </c>
      <c r="D67" s="21" t="n">
        <v>160</v>
      </c>
      <c r="E67" s="21" t="n">
        <v>4</v>
      </c>
      <c r="F67" s="21" t="n">
        <v>40</v>
      </c>
      <c r="G67" s="21" t="inlineStr">
        <is>
          <t>Per Each</t>
        </is>
      </c>
      <c r="H67" s="22">
        <f>IFERROR(VLOOKUP(A67,$A$5:$F$14,6,FALSE),"")</f>
        <v/>
      </c>
      <c r="I67" s="22">
        <f>IF(H67&lt;&gt;"",D67*H67,0)</f>
        <v/>
      </c>
    </row>
    <row r="68">
      <c r="A68" s="19" t="inlineStr">
        <is>
          <t>NUS-A0ECF-06</t>
        </is>
      </c>
      <c r="B68" s="19" t="inlineStr">
        <is>
          <t>End Caps (6in XR35)</t>
        </is>
      </c>
      <c r="C68" s="19" t="inlineStr">
        <is>
          <t>ACCESSORIES</t>
        </is>
      </c>
      <c r="D68" s="19" t="n">
        <v>242</v>
      </c>
      <c r="E68" s="19" t="n">
        <v>40</v>
      </c>
      <c r="F68" s="19" t="n">
        <v>7</v>
      </c>
      <c r="G68" s="19" t="inlineStr">
        <is>
          <t>Per Bundle</t>
        </is>
      </c>
      <c r="H68" s="20">
        <f>IFERROR(VLOOKUP(A68,$A$5:$F$14,6,FALSE),"")</f>
        <v/>
      </c>
      <c r="I68" s="20">
        <f>IF(H68&lt;&gt;"",F68*H68,0)</f>
        <v/>
      </c>
    </row>
    <row r="69">
      <c r="A69" s="21" t="inlineStr">
        <is>
          <t>NUS-ABLOK-06</t>
        </is>
      </c>
      <c r="B69" s="21" t="inlineStr">
        <is>
          <t>Form-Lock (6in Standard)</t>
        </is>
      </c>
      <c r="C69" s="21" t="inlineStr">
        <is>
          <t>ACCESSORIES</t>
        </is>
      </c>
      <c r="D69" s="21" t="n">
        <v>35</v>
      </c>
      <c r="E69" s="21" t="n">
        <v>10</v>
      </c>
      <c r="F69" s="21" t="n">
        <v>4</v>
      </c>
      <c r="G69" s="21" t="inlineStr">
        <is>
          <t>Per Bundle</t>
        </is>
      </c>
      <c r="H69" s="22">
        <f>IFERROR(VLOOKUP(A69,$A$5:$F$14,6,FALSE),"")</f>
        <v/>
      </c>
      <c r="I69" s="22">
        <f>IF(H69&lt;&gt;"",F69*H69,0)</f>
        <v/>
      </c>
    </row>
    <row r="70">
      <c r="A70" s="19" t="inlineStr">
        <is>
          <t>NUS-ABLOK-06</t>
        </is>
      </c>
      <c r="B70" s="19" t="inlineStr">
        <is>
          <t>Form-Lock (6in XR35)</t>
        </is>
      </c>
      <c r="C70" s="19" t="inlineStr">
        <is>
          <t>ACCESSORIES</t>
        </is>
      </c>
      <c r="D70" s="19" t="n">
        <v>37</v>
      </c>
      <c r="E70" s="19" t="n">
        <v>10</v>
      </c>
      <c r="F70" s="19" t="n">
        <v>4</v>
      </c>
      <c r="G70" s="19" t="inlineStr">
        <is>
          <t>Per Bundle</t>
        </is>
      </c>
      <c r="H70" s="20">
        <f>IFERROR(VLOOKUP(A70,$A$5:$F$14,6,FALSE),"")</f>
        <v/>
      </c>
      <c r="I70" s="20">
        <f>IF(H70&lt;&gt;"",F70*H70,0)</f>
        <v/>
      </c>
    </row>
    <row r="71">
      <c r="A71" s="21" t="inlineStr">
        <is>
          <t>NUS-PLINT-06</t>
        </is>
      </c>
      <c r="B71" s="21" t="inlineStr">
        <is>
          <t>Lintel Closures (6in XR35)</t>
        </is>
      </c>
      <c r="C71" s="21" t="inlineStr">
        <is>
          <t>ACCESSORIES</t>
        </is>
      </c>
      <c r="D71" s="21" t="n">
        <v>82</v>
      </c>
      <c r="E71" s="21" t="n">
        <v>60</v>
      </c>
      <c r="F71" s="21" t="n">
        <v>2</v>
      </c>
      <c r="G71" s="21" t="inlineStr">
        <is>
          <t>Per Each</t>
        </is>
      </c>
      <c r="H71" s="22">
        <f>IFERROR(VLOOKUP(A71,$A$5:$F$14,6,FALSE),"")</f>
        <v/>
      </c>
      <c r="I71" s="22">
        <f>IF(H71&lt;&gt;"",D71*H71,0)</f>
        <v/>
      </c>
    </row>
    <row r="72">
      <c r="A72" s="19" t="inlineStr">
        <is>
          <t>NUS-SF-BOX</t>
        </is>
      </c>
      <c r="B72" s="19" t="inlineStr">
        <is>
          <t>Spray Foam Cans</t>
        </is>
      </c>
      <c r="C72" s="19" t="inlineStr">
        <is>
          <t>ACCESSORIES</t>
        </is>
      </c>
      <c r="D72" s="19" t="n">
        <v>42</v>
      </c>
      <c r="E72" s="19" t="n">
        <v>12</v>
      </c>
      <c r="F72" s="19" t="n">
        <v>4</v>
      </c>
      <c r="G72" s="19" t="inlineStr">
        <is>
          <t>Per Bundle</t>
        </is>
      </c>
      <c r="H72" s="20">
        <f>IFERROR(VLOOKUP(A72,$A$5:$F$14,6,FALSE),"")</f>
        <v/>
      </c>
      <c r="I72" s="20">
        <f>IF(H72&lt;&gt;"",F72*H72,0)</f>
        <v/>
      </c>
    </row>
    <row r="73">
      <c r="A73" s="21" t="inlineStr">
        <is>
          <t>NUS-ATSTP-00</t>
        </is>
      </c>
      <c r="B73" s="21" t="inlineStr">
        <is>
          <t>T-Form Support Straps</t>
        </is>
      </c>
      <c r="C73" s="21" t="inlineStr">
        <is>
          <t>ACCESSORIES</t>
        </is>
      </c>
      <c r="D73" s="21" t="n">
        <v>728</v>
      </c>
      <c r="E73" s="21" t="n">
        <v>30</v>
      </c>
      <c r="F73" s="21" t="n">
        <v>25</v>
      </c>
      <c r="G73" s="21" t="inlineStr">
        <is>
          <t>Per Each</t>
        </is>
      </c>
      <c r="H73" s="22">
        <f>IFERROR(VLOOKUP(A73,$A$5:$F$14,6,FALSE),"")</f>
        <v/>
      </c>
      <c r="I73" s="22">
        <f>IF(H73&lt;&gt;"",D73*H73,0)</f>
        <v/>
      </c>
    </row>
    <row r="74">
      <c r="A74" s="19" t="inlineStr">
        <is>
          <t>NUS-A0VJC-00</t>
        </is>
      </c>
      <c r="B74" s="19" t="inlineStr">
        <is>
          <t>Vertical Joint Clips</t>
        </is>
      </c>
      <c r="C74" s="19" t="inlineStr">
        <is>
          <t>ACCESSORIES</t>
        </is>
      </c>
      <c r="D74" s="19" t="n">
        <v>2770</v>
      </c>
      <c r="E74" s="19" t="n">
        <v>200</v>
      </c>
      <c r="F74" s="19" t="n">
        <v>14</v>
      </c>
      <c r="G74" s="19" t="inlineStr">
        <is>
          <t>Per Each</t>
        </is>
      </c>
      <c r="H74" s="20">
        <f>IFERROR(VLOOKUP(A74,$A$5:$F$14,6,FALSE),"")</f>
        <v/>
      </c>
      <c r="I74" s="20">
        <f>IF(H74&lt;&gt;"",D74*H74,0)</f>
        <v/>
      </c>
    </row>
    <row r="75">
      <c r="A75" s="17" t="inlineStr">
        <is>
          <t>Plot B2 - FB</t>
        </is>
      </c>
      <c r="B75" s="7" t="n"/>
      <c r="C75" s="7" t="n"/>
      <c r="D75" s="7" t="n"/>
      <c r="E75" s="7" t="n"/>
      <c r="F75" s="7" t="n"/>
      <c r="G75" s="7" t="n"/>
      <c r="H75" s="7" t="n"/>
      <c r="I75" s="8" t="n"/>
    </row>
    <row r="76">
      <c r="A76" s="19" t="inlineStr">
        <is>
          <t>NUS-I0096-06</t>
        </is>
      </c>
      <c r="B76" s="19" t="inlineStr">
        <is>
          <t>6in Standard Straight</t>
        </is>
      </c>
      <c r="C76" s="19" t="inlineStr">
        <is>
          <t>ICF FORMS</t>
        </is>
      </c>
      <c r="D76" s="19" t="n">
        <v>50</v>
      </c>
      <c r="E76" s="19" t="n">
        <v>3</v>
      </c>
      <c r="F76" s="19" t="n">
        <v>17</v>
      </c>
      <c r="G76" s="19" t="inlineStr">
        <is>
          <t>Per Each</t>
        </is>
      </c>
      <c r="H76" s="20">
        <f>IFERROR(VLOOKUP(A76,$A$5:$F$14,6,FALSE),"")</f>
        <v/>
      </c>
      <c r="I76" s="20">
        <f>IF(H76&lt;&gt;"",D76*H76,0)</f>
        <v/>
      </c>
    </row>
    <row r="77">
      <c r="A77" s="21" t="inlineStr">
        <is>
          <t>NUS-I0096-06</t>
        </is>
      </c>
      <c r="B77" s="21" t="inlineStr">
        <is>
          <t>6in Standard Straight PC (Pre-Cut)</t>
        </is>
      </c>
      <c r="C77" s="21" t="inlineStr">
        <is>
          <t>ICF FORMS</t>
        </is>
      </c>
      <c r="D77" s="21" t="n">
        <v>46</v>
      </c>
      <c r="E77" s="21" t="n">
        <v>3</v>
      </c>
      <c r="F77" s="21" t="n">
        <v>16</v>
      </c>
      <c r="G77" s="21" t="inlineStr">
        <is>
          <t>Per Each</t>
        </is>
      </c>
      <c r="H77" s="22">
        <f>IFERROR(VLOOKUP(A77,$A$5:$F$14,6,FALSE),"")</f>
        <v/>
      </c>
      <c r="I77" s="22">
        <f>IF(H77&lt;&gt;"",D77*H77,0)</f>
        <v/>
      </c>
    </row>
    <row r="78">
      <c r="A78" s="19" t="inlineStr">
        <is>
          <t>NUS-I0090-06</t>
        </is>
      </c>
      <c r="B78" s="19" t="inlineStr">
        <is>
          <t>6in Standard 90° Corner</t>
        </is>
      </c>
      <c r="C78" s="19" t="inlineStr">
        <is>
          <t>ICF FORMS</t>
        </is>
      </c>
      <c r="D78" s="19" t="n">
        <v>10</v>
      </c>
      <c r="E78" s="19" t="n">
        <v>6</v>
      </c>
      <c r="F78" s="19" t="n">
        <v>2</v>
      </c>
      <c r="G78" s="19" t="inlineStr">
        <is>
          <t>Per Each</t>
        </is>
      </c>
      <c r="H78" s="20">
        <f>IFERROR(VLOOKUP(A78,$A$5:$F$14,6,FALSE),"")</f>
        <v/>
      </c>
      <c r="I78" s="20">
        <f>IF(H78&lt;&gt;"",D78*H78,0)</f>
        <v/>
      </c>
    </row>
    <row r="79">
      <c r="A79" s="21" t="inlineStr">
        <is>
          <t>NUS-IX496-06</t>
        </is>
      </c>
      <c r="B79" s="21" t="inlineStr">
        <is>
          <t>6in XR35 Straight</t>
        </is>
      </c>
      <c r="C79" s="21" t="inlineStr">
        <is>
          <t>ICF FORMS</t>
        </is>
      </c>
      <c r="D79" s="21" t="n">
        <v>33</v>
      </c>
      <c r="E79" s="21" t="n">
        <v>2</v>
      </c>
      <c r="F79" s="21" t="n">
        <v>17</v>
      </c>
      <c r="G79" s="21" t="inlineStr">
        <is>
          <t>Per Each</t>
        </is>
      </c>
      <c r="H79" s="22">
        <f>IFERROR(VLOOKUP(A79,$A$5:$F$14,6,FALSE),"")</f>
        <v/>
      </c>
      <c r="I79" s="22">
        <f>IF(H79&lt;&gt;"",D79*H79,0)</f>
        <v/>
      </c>
    </row>
    <row r="80">
      <c r="A80" s="19" t="inlineStr">
        <is>
          <t>NUS-IX496-06</t>
        </is>
      </c>
      <c r="B80" s="19" t="inlineStr">
        <is>
          <t>6in XR35 Straight PC (Pre-Cut)</t>
        </is>
      </c>
      <c r="C80" s="19" t="inlineStr">
        <is>
          <t>ICF FORMS</t>
        </is>
      </c>
      <c r="D80" s="19" t="n">
        <v>44</v>
      </c>
      <c r="E80" s="19" t="n">
        <v>2</v>
      </c>
      <c r="F80" s="19" t="n">
        <v>22</v>
      </c>
      <c r="G80" s="19" t="inlineStr">
        <is>
          <t>Per Each</t>
        </is>
      </c>
      <c r="H80" s="20">
        <f>IFERROR(VLOOKUP(A80,$A$5:$F$14,6,FALSE),"")</f>
        <v/>
      </c>
      <c r="I80" s="20">
        <f>IF(H80&lt;&gt;"",D80*H80,0)</f>
        <v/>
      </c>
    </row>
    <row r="81">
      <c r="A81" s="21" t="inlineStr">
        <is>
          <t>NUS-IX490-06</t>
        </is>
      </c>
      <c r="B81" s="21" t="inlineStr">
        <is>
          <t>6in XR35 90° Corner</t>
        </is>
      </c>
      <c r="C81" s="21" t="inlineStr">
        <is>
          <t>ICF FORMS</t>
        </is>
      </c>
      <c r="D81" s="21" t="n">
        <v>48</v>
      </c>
      <c r="E81" s="21" t="n">
        <v>4</v>
      </c>
      <c r="F81" s="21" t="n">
        <v>12</v>
      </c>
      <c r="G81" s="21" t="inlineStr">
        <is>
          <t>Per Each</t>
        </is>
      </c>
      <c r="H81" s="22">
        <f>IFERROR(VLOOKUP(A81,$A$5:$F$14,6,FALSE),"")</f>
        <v/>
      </c>
      <c r="I81" s="22">
        <f>IF(H81&lt;&gt;"",D81*H81,0)</f>
        <v/>
      </c>
    </row>
    <row r="82">
      <c r="A82" s="19" t="inlineStr">
        <is>
          <t>NUS-ABLOK-06</t>
        </is>
      </c>
      <c r="B82" s="19" t="inlineStr">
        <is>
          <t>Form-Lock (6in Standard)</t>
        </is>
      </c>
      <c r="C82" s="19" t="inlineStr">
        <is>
          <t>ACCESSORIES</t>
        </is>
      </c>
      <c r="D82" s="19" t="n">
        <v>75</v>
      </c>
      <c r="E82" s="19" t="n">
        <v>10</v>
      </c>
      <c r="F82" s="19" t="n">
        <v>8</v>
      </c>
      <c r="G82" s="19" t="inlineStr">
        <is>
          <t>Per Bundle</t>
        </is>
      </c>
      <c r="H82" s="20">
        <f>IFERROR(VLOOKUP(A82,$A$5:$F$14,6,FALSE),"")</f>
        <v/>
      </c>
      <c r="I82" s="20">
        <f>IF(H82&lt;&gt;"",F82*H82,0)</f>
        <v/>
      </c>
    </row>
    <row r="83">
      <c r="A83" s="21" t="inlineStr">
        <is>
          <t>NUS-ABLOK-06</t>
        </is>
      </c>
      <c r="B83" s="21" t="inlineStr">
        <is>
          <t>Form-Lock (6in XR35)</t>
        </is>
      </c>
      <c r="C83" s="21" t="inlineStr">
        <is>
          <t>ACCESSORIES</t>
        </is>
      </c>
      <c r="D83" s="21" t="n">
        <v>88</v>
      </c>
      <c r="E83" s="21" t="n">
        <v>10</v>
      </c>
      <c r="F83" s="21" t="n">
        <v>9</v>
      </c>
      <c r="G83" s="21" t="inlineStr">
        <is>
          <t>Per Bundle</t>
        </is>
      </c>
      <c r="H83" s="22">
        <f>IFERROR(VLOOKUP(A83,$A$5:$F$14,6,FALSE),"")</f>
        <v/>
      </c>
      <c r="I83" s="22">
        <f>IF(H83&lt;&gt;"",F83*H83,0)</f>
        <v/>
      </c>
    </row>
    <row r="84">
      <c r="A84" s="19" t="inlineStr">
        <is>
          <t>NUS-SF-BOX</t>
        </is>
      </c>
      <c r="B84" s="19" t="inlineStr">
        <is>
          <t>Spray Foam Cans</t>
        </is>
      </c>
      <c r="C84" s="19" t="inlineStr">
        <is>
          <t>ACCESSORIES</t>
        </is>
      </c>
      <c r="D84" s="19" t="n">
        <v>10</v>
      </c>
      <c r="E84" s="19" t="n">
        <v>12</v>
      </c>
      <c r="F84" s="19" t="n">
        <v>1</v>
      </c>
      <c r="G84" s="19" t="inlineStr">
        <is>
          <t>Per Bundle</t>
        </is>
      </c>
      <c r="H84" s="20">
        <f>IFERROR(VLOOKUP(A84,$A$5:$F$14,6,FALSE),"")</f>
        <v/>
      </c>
      <c r="I84" s="20">
        <f>IF(H84&lt;&gt;"",F84*H84,0)</f>
        <v/>
      </c>
    </row>
    <row r="85">
      <c r="A85" s="21" t="inlineStr">
        <is>
          <t>NUS-ATSTP-00</t>
        </is>
      </c>
      <c r="B85" s="21" t="inlineStr">
        <is>
          <t>T-Form Support Straps</t>
        </is>
      </c>
      <c r="C85" s="21" t="inlineStr">
        <is>
          <t>ACCESSORIES</t>
        </is>
      </c>
      <c r="D85" s="21" t="n">
        <v>76</v>
      </c>
      <c r="E85" s="21" t="n">
        <v>30</v>
      </c>
      <c r="F85" s="21" t="n">
        <v>3</v>
      </c>
      <c r="G85" s="21" t="inlineStr">
        <is>
          <t>Per Each</t>
        </is>
      </c>
      <c r="H85" s="22">
        <f>IFERROR(VLOOKUP(A85,$A$5:$F$14,6,FALSE),"")</f>
        <v/>
      </c>
      <c r="I85" s="22">
        <f>IF(H85&lt;&gt;"",D85*H85,0)</f>
        <v/>
      </c>
    </row>
    <row r="86">
      <c r="A86" s="19" t="inlineStr">
        <is>
          <t>NUS-A0VJC-00</t>
        </is>
      </c>
      <c r="B86" s="19" t="inlineStr">
        <is>
          <t>Vertical Joint Clips</t>
        </is>
      </c>
      <c r="C86" s="19" t="inlineStr">
        <is>
          <t>ACCESSORIES</t>
        </is>
      </c>
      <c r="D86" s="19" t="n">
        <v>922</v>
      </c>
      <c r="E86" s="19" t="n">
        <v>200</v>
      </c>
      <c r="F86" s="19" t="n">
        <v>5</v>
      </c>
      <c r="G86" s="19" t="inlineStr">
        <is>
          <t>Per Each</t>
        </is>
      </c>
      <c r="H86" s="20">
        <f>IFERROR(VLOOKUP(A86,$A$5:$F$14,6,FALSE),"")</f>
        <v/>
      </c>
      <c r="I86" s="20">
        <f>IF(H86&lt;&gt;"",D86*H86,0)</f>
        <v/>
      </c>
    </row>
    <row r="87">
      <c r="A87" s="17" t="inlineStr">
        <is>
          <t>Plot B2 - L1</t>
        </is>
      </c>
      <c r="B87" s="7" t="n"/>
      <c r="C87" s="7" t="n"/>
      <c r="D87" s="7" t="n"/>
      <c r="E87" s="7" t="n"/>
      <c r="F87" s="7" t="n"/>
      <c r="G87" s="7" t="n"/>
      <c r="H87" s="7" t="n"/>
      <c r="I87" s="8" t="n"/>
    </row>
    <row r="88">
      <c r="A88" s="19" t="inlineStr">
        <is>
          <t>NUS-I0096-06</t>
        </is>
      </c>
      <c r="B88" s="19" t="inlineStr">
        <is>
          <t>6in Standard Straight</t>
        </is>
      </c>
      <c r="C88" s="19" t="inlineStr">
        <is>
          <t>ICF FORMS</t>
        </is>
      </c>
      <c r="D88" s="19" t="n">
        <v>159</v>
      </c>
      <c r="E88" s="19" t="n">
        <v>3</v>
      </c>
      <c r="F88" s="19" t="n">
        <v>53</v>
      </c>
      <c r="G88" s="19" t="inlineStr">
        <is>
          <t>Per Each</t>
        </is>
      </c>
      <c r="H88" s="20">
        <f>IFERROR(VLOOKUP(A88,$A$5:$F$14,6,FALSE),"")</f>
        <v/>
      </c>
      <c r="I88" s="20">
        <f>IF(H88&lt;&gt;"",D88*H88,0)</f>
        <v/>
      </c>
    </row>
    <row r="89">
      <c r="A89" s="21" t="inlineStr">
        <is>
          <t>NUS-I0096-06</t>
        </is>
      </c>
      <c r="B89" s="21" t="inlineStr">
        <is>
          <t>6in Standard Straight PC (Pre-Cut)</t>
        </is>
      </c>
      <c r="C89" s="21" t="inlineStr">
        <is>
          <t>ICF FORMS</t>
        </is>
      </c>
      <c r="D89" s="21" t="n">
        <v>149</v>
      </c>
      <c r="E89" s="21" t="n">
        <v>3</v>
      </c>
      <c r="F89" s="21" t="n">
        <v>50</v>
      </c>
      <c r="G89" s="21" t="inlineStr">
        <is>
          <t>Per Each</t>
        </is>
      </c>
      <c r="H89" s="22">
        <f>IFERROR(VLOOKUP(A89,$A$5:$F$14,6,FALSE),"")</f>
        <v/>
      </c>
      <c r="I89" s="22">
        <f>IF(H89&lt;&gt;"",D89*H89,0)</f>
        <v/>
      </c>
    </row>
    <row r="90">
      <c r="A90" s="19" t="inlineStr">
        <is>
          <t>NUS-I0090-06</t>
        </is>
      </c>
      <c r="B90" s="19" t="inlineStr">
        <is>
          <t>6in Standard 90° Corner</t>
        </is>
      </c>
      <c r="C90" s="19" t="inlineStr">
        <is>
          <t>ICF FORMS</t>
        </is>
      </c>
      <c r="D90" s="19" t="n">
        <v>52</v>
      </c>
      <c r="E90" s="19" t="n">
        <v>6</v>
      </c>
      <c r="F90" s="19" t="n">
        <v>9</v>
      </c>
      <c r="G90" s="19" t="inlineStr">
        <is>
          <t>Per Each</t>
        </is>
      </c>
      <c r="H90" s="20">
        <f>IFERROR(VLOOKUP(A90,$A$5:$F$14,6,FALSE),"")</f>
        <v/>
      </c>
      <c r="I90" s="20">
        <f>IF(H90&lt;&gt;"",D90*H90,0)</f>
        <v/>
      </c>
    </row>
    <row r="91">
      <c r="A91" s="21" t="inlineStr">
        <is>
          <t>NUS-IX496-06</t>
        </is>
      </c>
      <c r="B91" s="21" t="inlineStr">
        <is>
          <t>6in XR35 Straight</t>
        </is>
      </c>
      <c r="C91" s="21" t="inlineStr">
        <is>
          <t>ICF FORMS</t>
        </is>
      </c>
      <c r="D91" s="21" t="n">
        <v>36</v>
      </c>
      <c r="E91" s="21" t="n">
        <v>2</v>
      </c>
      <c r="F91" s="21" t="n">
        <v>18</v>
      </c>
      <c r="G91" s="21" t="inlineStr">
        <is>
          <t>Per Each</t>
        </is>
      </c>
      <c r="H91" s="22">
        <f>IFERROR(VLOOKUP(A91,$A$5:$F$14,6,FALSE),"")</f>
        <v/>
      </c>
      <c r="I91" s="22">
        <f>IF(H91&lt;&gt;"",D91*H91,0)</f>
        <v/>
      </c>
    </row>
    <row r="92">
      <c r="A92" s="19" t="inlineStr">
        <is>
          <t>NUS-IX496-06</t>
        </is>
      </c>
      <c r="B92" s="19" t="inlineStr">
        <is>
          <t>6in XR35 Straight PC (Pre-Cut)</t>
        </is>
      </c>
      <c r="C92" s="19" t="inlineStr">
        <is>
          <t>ICF FORMS</t>
        </is>
      </c>
      <c r="D92" s="19" t="n">
        <v>136</v>
      </c>
      <c r="E92" s="19" t="n">
        <v>2</v>
      </c>
      <c r="F92" s="19" t="n">
        <v>68</v>
      </c>
      <c r="G92" s="19" t="inlineStr">
        <is>
          <t>Per Each</t>
        </is>
      </c>
      <c r="H92" s="20">
        <f>IFERROR(VLOOKUP(A92,$A$5:$F$14,6,FALSE),"")</f>
        <v/>
      </c>
      <c r="I92" s="20">
        <f>IF(H92&lt;&gt;"",D92*H92,0)</f>
        <v/>
      </c>
    </row>
    <row r="93">
      <c r="A93" s="21" t="inlineStr">
        <is>
          <t>NUS-IX490-06</t>
        </is>
      </c>
      <c r="B93" s="21" t="inlineStr">
        <is>
          <t>6in XR35 90° Corner</t>
        </is>
      </c>
      <c r="C93" s="21" t="inlineStr">
        <is>
          <t>ICF FORMS</t>
        </is>
      </c>
      <c r="D93" s="21" t="n">
        <v>144</v>
      </c>
      <c r="E93" s="21" t="n">
        <v>4</v>
      </c>
      <c r="F93" s="21" t="n">
        <v>36</v>
      </c>
      <c r="G93" s="21" t="inlineStr">
        <is>
          <t>Per Each</t>
        </is>
      </c>
      <c r="H93" s="22">
        <f>IFERROR(VLOOKUP(A93,$A$5:$F$14,6,FALSE),"")</f>
        <v/>
      </c>
      <c r="I93" s="22">
        <f>IF(H93&lt;&gt;"",D93*H93,0)</f>
        <v/>
      </c>
    </row>
    <row r="94">
      <c r="A94" s="19" t="inlineStr">
        <is>
          <t>NUS-A0ECF-06</t>
        </is>
      </c>
      <c r="B94" s="19" t="inlineStr">
        <is>
          <t>End Caps (6in XR35)</t>
        </is>
      </c>
      <c r="C94" s="19" t="inlineStr">
        <is>
          <t>ACCESSORIES</t>
        </is>
      </c>
      <c r="D94" s="19" t="n">
        <v>338</v>
      </c>
      <c r="E94" s="19" t="n">
        <v>40</v>
      </c>
      <c r="F94" s="19" t="n">
        <v>9</v>
      </c>
      <c r="G94" s="19" t="inlineStr">
        <is>
          <t>Per Bundle</t>
        </is>
      </c>
      <c r="H94" s="20">
        <f>IFERROR(VLOOKUP(A94,$A$5:$F$14,6,FALSE),"")</f>
        <v/>
      </c>
      <c r="I94" s="20">
        <f>IF(H94&lt;&gt;"",F94*H94,0)</f>
        <v/>
      </c>
    </row>
    <row r="95">
      <c r="A95" s="21" t="inlineStr">
        <is>
          <t>NUS-ABLOK-06</t>
        </is>
      </c>
      <c r="B95" s="21" t="inlineStr">
        <is>
          <t>Form-Lock (6in Standard)</t>
        </is>
      </c>
      <c r="C95" s="21" t="inlineStr">
        <is>
          <t>ACCESSORIES</t>
        </is>
      </c>
      <c r="D95" s="21" t="n">
        <v>39</v>
      </c>
      <c r="E95" s="21" t="n">
        <v>10</v>
      </c>
      <c r="F95" s="21" t="n">
        <v>4</v>
      </c>
      <c r="G95" s="21" t="inlineStr">
        <is>
          <t>Per Bundle</t>
        </is>
      </c>
      <c r="H95" s="22">
        <f>IFERROR(VLOOKUP(A95,$A$5:$F$14,6,FALSE),"")</f>
        <v/>
      </c>
      <c r="I95" s="22">
        <f>IF(H95&lt;&gt;"",F95*H95,0)</f>
        <v/>
      </c>
    </row>
    <row r="96">
      <c r="A96" s="19" t="inlineStr">
        <is>
          <t>NUS-ABLOK-06</t>
        </is>
      </c>
      <c r="B96" s="19" t="inlineStr">
        <is>
          <t>Form-Lock (6in XR35)</t>
        </is>
      </c>
      <c r="C96" s="19" t="inlineStr">
        <is>
          <t>ACCESSORIES</t>
        </is>
      </c>
      <c r="D96" s="19" t="n">
        <v>39</v>
      </c>
      <c r="E96" s="19" t="n">
        <v>10</v>
      </c>
      <c r="F96" s="19" t="n">
        <v>4</v>
      </c>
      <c r="G96" s="19" t="inlineStr">
        <is>
          <t>Per Bundle</t>
        </is>
      </c>
      <c r="H96" s="20">
        <f>IFERROR(VLOOKUP(A96,$A$5:$F$14,6,FALSE),"")</f>
        <v/>
      </c>
      <c r="I96" s="20">
        <f>IF(H96&lt;&gt;"",F96*H96,0)</f>
        <v/>
      </c>
    </row>
    <row r="97">
      <c r="A97" s="21" t="inlineStr">
        <is>
          <t>NUS-PLINT-06</t>
        </is>
      </c>
      <c r="B97" s="21" t="inlineStr">
        <is>
          <t>Lintel Closures (6in XR35)</t>
        </is>
      </c>
      <c r="C97" s="21" t="inlineStr">
        <is>
          <t>ACCESSORIES</t>
        </is>
      </c>
      <c r="D97" s="21" t="n">
        <v>109</v>
      </c>
      <c r="E97" s="21" t="n">
        <v>60</v>
      </c>
      <c r="F97" s="21" t="n">
        <v>2</v>
      </c>
      <c r="G97" s="21" t="inlineStr">
        <is>
          <t>Per Each</t>
        </is>
      </c>
      <c r="H97" s="22">
        <f>IFERROR(VLOOKUP(A97,$A$5:$F$14,6,FALSE),"")</f>
        <v/>
      </c>
      <c r="I97" s="22">
        <f>IF(H97&lt;&gt;"",D97*H97,0)</f>
        <v/>
      </c>
    </row>
    <row r="98">
      <c r="A98" s="19" t="inlineStr">
        <is>
          <t>NUS-SF-BOX</t>
        </is>
      </c>
      <c r="B98" s="19" t="inlineStr">
        <is>
          <t>Spray Foam Cans</t>
        </is>
      </c>
      <c r="C98" s="19" t="inlineStr">
        <is>
          <t>ACCESSORIES</t>
        </is>
      </c>
      <c r="D98" s="19" t="n">
        <v>41</v>
      </c>
      <c r="E98" s="19" t="n">
        <v>12</v>
      </c>
      <c r="F98" s="19" t="n">
        <v>4</v>
      </c>
      <c r="G98" s="19" t="inlineStr">
        <is>
          <t>Per Bundle</t>
        </is>
      </c>
      <c r="H98" s="20">
        <f>IFERROR(VLOOKUP(A98,$A$5:$F$14,6,FALSE),"")</f>
        <v/>
      </c>
      <c r="I98" s="20">
        <f>IF(H98&lt;&gt;"",F98*H98,0)</f>
        <v/>
      </c>
    </row>
    <row r="99">
      <c r="A99" s="21" t="inlineStr">
        <is>
          <t>NUS-ATSTP-00</t>
        </is>
      </c>
      <c r="B99" s="21" t="inlineStr">
        <is>
          <t>T-Form Support Straps</t>
        </is>
      </c>
      <c r="C99" s="21" t="inlineStr">
        <is>
          <t>ACCESSORIES</t>
        </is>
      </c>
      <c r="D99" s="21" t="n">
        <v>84</v>
      </c>
      <c r="E99" s="21" t="n">
        <v>30</v>
      </c>
      <c r="F99" s="21" t="n">
        <v>3</v>
      </c>
      <c r="G99" s="21" t="inlineStr">
        <is>
          <t>Per Each</t>
        </is>
      </c>
      <c r="H99" s="22">
        <f>IFERROR(VLOOKUP(A99,$A$5:$F$14,6,FALSE),"")</f>
        <v/>
      </c>
      <c r="I99" s="22">
        <f>IF(H99&lt;&gt;"",D99*H99,0)</f>
        <v/>
      </c>
    </row>
    <row r="100">
      <c r="A100" s="19" t="inlineStr">
        <is>
          <t>NUS-A0VJC-00</t>
        </is>
      </c>
      <c r="B100" s="19" t="inlineStr">
        <is>
          <t>Vertical Joint Clips</t>
        </is>
      </c>
      <c r="C100" s="19" t="inlineStr">
        <is>
          <t>ACCESSORIES</t>
        </is>
      </c>
      <c r="D100" s="19" t="n">
        <v>2404</v>
      </c>
      <c r="E100" s="19" t="n">
        <v>200</v>
      </c>
      <c r="F100" s="19" t="n">
        <v>13</v>
      </c>
      <c r="G100" s="19" t="inlineStr">
        <is>
          <t>Per Each</t>
        </is>
      </c>
      <c r="H100" s="20">
        <f>IFERROR(VLOOKUP(A100,$A$5:$F$14,6,FALSE),"")</f>
        <v/>
      </c>
      <c r="I100" s="20">
        <f>IF(H100&lt;&gt;"",D100*H100,0)</f>
        <v/>
      </c>
    </row>
    <row r="101">
      <c r="A101" s="17" t="inlineStr">
        <is>
          <t>Plot B2 - L2</t>
        </is>
      </c>
      <c r="B101" s="7" t="n"/>
      <c r="C101" s="7" t="n"/>
      <c r="D101" s="7" t="n"/>
      <c r="E101" s="7" t="n"/>
      <c r="F101" s="7" t="n"/>
      <c r="G101" s="7" t="n"/>
      <c r="H101" s="7" t="n"/>
      <c r="I101" s="8" t="n"/>
    </row>
    <row r="102">
      <c r="A102" s="19" t="inlineStr">
        <is>
          <t>NUS-I0096-06</t>
        </is>
      </c>
      <c r="B102" s="19" t="inlineStr">
        <is>
          <t>6in Standard Straight</t>
        </is>
      </c>
      <c r="C102" s="19" t="inlineStr">
        <is>
          <t>ICF FORMS</t>
        </is>
      </c>
      <c r="D102" s="19" t="n">
        <v>141</v>
      </c>
      <c r="E102" s="19" t="n">
        <v>3</v>
      </c>
      <c r="F102" s="19" t="n">
        <v>47</v>
      </c>
      <c r="G102" s="19" t="inlineStr">
        <is>
          <t>Per Each</t>
        </is>
      </c>
      <c r="H102" s="20">
        <f>IFERROR(VLOOKUP(A102,$A$5:$F$14,6,FALSE),"")</f>
        <v/>
      </c>
      <c r="I102" s="20">
        <f>IF(H102&lt;&gt;"",D102*H102,0)</f>
        <v/>
      </c>
    </row>
    <row r="103">
      <c r="A103" s="21" t="inlineStr">
        <is>
          <t>NUS-I0096-06</t>
        </is>
      </c>
      <c r="B103" s="21" t="inlineStr">
        <is>
          <t>6in Standard Straight PC (Pre-Cut)</t>
        </is>
      </c>
      <c r="C103" s="21" t="inlineStr">
        <is>
          <t>ICF FORMS</t>
        </is>
      </c>
      <c r="D103" s="21" t="n">
        <v>126</v>
      </c>
      <c r="E103" s="21" t="n">
        <v>3</v>
      </c>
      <c r="F103" s="21" t="n">
        <v>42</v>
      </c>
      <c r="G103" s="21" t="inlineStr">
        <is>
          <t>Per Each</t>
        </is>
      </c>
      <c r="H103" s="22">
        <f>IFERROR(VLOOKUP(A103,$A$5:$F$14,6,FALSE),"")</f>
        <v/>
      </c>
      <c r="I103" s="22">
        <f>IF(H103&lt;&gt;"",D103*H103,0)</f>
        <v/>
      </c>
    </row>
    <row r="104">
      <c r="A104" s="19" t="inlineStr">
        <is>
          <t>NUS-I0090-06</t>
        </is>
      </c>
      <c r="B104" s="19" t="inlineStr">
        <is>
          <t>6in Standard 90° Corner</t>
        </is>
      </c>
      <c r="C104" s="19" t="inlineStr">
        <is>
          <t>ICF FORMS</t>
        </is>
      </c>
      <c r="D104" s="19" t="n">
        <v>42</v>
      </c>
      <c r="E104" s="19" t="n">
        <v>6</v>
      </c>
      <c r="F104" s="19" t="n">
        <v>7</v>
      </c>
      <c r="G104" s="19" t="inlineStr">
        <is>
          <t>Per Each</t>
        </is>
      </c>
      <c r="H104" s="20">
        <f>IFERROR(VLOOKUP(A104,$A$5:$F$14,6,FALSE),"")</f>
        <v/>
      </c>
      <c r="I104" s="20">
        <f>IF(H104&lt;&gt;"",D104*H104,0)</f>
        <v/>
      </c>
    </row>
    <row r="105">
      <c r="A105" s="21" t="inlineStr">
        <is>
          <t>NUS-IX496-06</t>
        </is>
      </c>
      <c r="B105" s="21" t="inlineStr">
        <is>
          <t>6in XR35 Straight</t>
        </is>
      </c>
      <c r="C105" s="21" t="inlineStr">
        <is>
          <t>ICF FORMS</t>
        </is>
      </c>
      <c r="D105" s="21" t="n">
        <v>26</v>
      </c>
      <c r="E105" s="21" t="n">
        <v>2</v>
      </c>
      <c r="F105" s="21" t="n">
        <v>13</v>
      </c>
      <c r="G105" s="21" t="inlineStr">
        <is>
          <t>Per Each</t>
        </is>
      </c>
      <c r="H105" s="22">
        <f>IFERROR(VLOOKUP(A105,$A$5:$F$14,6,FALSE),"")</f>
        <v/>
      </c>
      <c r="I105" s="22">
        <f>IF(H105&lt;&gt;"",D105*H105,0)</f>
        <v/>
      </c>
    </row>
    <row r="106">
      <c r="A106" s="19" t="inlineStr">
        <is>
          <t>NUS-IX496-06</t>
        </is>
      </c>
      <c r="B106" s="19" t="inlineStr">
        <is>
          <t>6in XR35 Straight PC (Pre-Cut)</t>
        </is>
      </c>
      <c r="C106" s="19" t="inlineStr">
        <is>
          <t>ICF FORMS</t>
        </is>
      </c>
      <c r="D106" s="19" t="n">
        <v>159</v>
      </c>
      <c r="E106" s="19" t="n">
        <v>2</v>
      </c>
      <c r="F106" s="19" t="n">
        <v>80</v>
      </c>
      <c r="G106" s="19" t="inlineStr">
        <is>
          <t>Per Each</t>
        </is>
      </c>
      <c r="H106" s="20">
        <f>IFERROR(VLOOKUP(A106,$A$5:$F$14,6,FALSE),"")</f>
        <v/>
      </c>
      <c r="I106" s="20">
        <f>IF(H106&lt;&gt;"",D106*H106,0)</f>
        <v/>
      </c>
    </row>
    <row r="107">
      <c r="A107" s="21" t="inlineStr">
        <is>
          <t>NUS-IX490-06</t>
        </is>
      </c>
      <c r="B107" s="21" t="inlineStr">
        <is>
          <t>6in XR35 90° Corner</t>
        </is>
      </c>
      <c r="C107" s="21" t="inlineStr">
        <is>
          <t>ICF FORMS</t>
        </is>
      </c>
      <c r="D107" s="21" t="n">
        <v>144</v>
      </c>
      <c r="E107" s="21" t="n">
        <v>4</v>
      </c>
      <c r="F107" s="21" t="n">
        <v>36</v>
      </c>
      <c r="G107" s="21" t="inlineStr">
        <is>
          <t>Per Each</t>
        </is>
      </c>
      <c r="H107" s="22">
        <f>IFERROR(VLOOKUP(A107,$A$5:$F$14,6,FALSE),"")</f>
        <v/>
      </c>
      <c r="I107" s="22">
        <f>IF(H107&lt;&gt;"",D107*H107,0)</f>
        <v/>
      </c>
    </row>
    <row r="108">
      <c r="A108" s="19" t="inlineStr">
        <is>
          <t>NUS-A0ECF-06</t>
        </is>
      </c>
      <c r="B108" s="19" t="inlineStr">
        <is>
          <t>End Caps (6in XR35)</t>
        </is>
      </c>
      <c r="C108" s="19" t="inlineStr">
        <is>
          <t>ACCESSORIES</t>
        </is>
      </c>
      <c r="D108" s="19" t="n">
        <v>324</v>
      </c>
      <c r="E108" s="19" t="n">
        <v>40</v>
      </c>
      <c r="F108" s="19" t="n">
        <v>9</v>
      </c>
      <c r="G108" s="19" t="inlineStr">
        <is>
          <t>Per Bundle</t>
        </is>
      </c>
      <c r="H108" s="20">
        <f>IFERROR(VLOOKUP(A108,$A$5:$F$14,6,FALSE),"")</f>
        <v/>
      </c>
      <c r="I108" s="20">
        <f>IF(H108&lt;&gt;"",F108*H108,0)</f>
        <v/>
      </c>
    </row>
    <row r="109">
      <c r="A109" s="21" t="inlineStr">
        <is>
          <t>NUS-ABLOK-06</t>
        </is>
      </c>
      <c r="B109" s="21" t="inlineStr">
        <is>
          <t>Form-Lock (6in Standard)</t>
        </is>
      </c>
      <c r="C109" s="21" t="inlineStr">
        <is>
          <t>ACCESSORIES</t>
        </is>
      </c>
      <c r="D109" s="21" t="n">
        <v>72</v>
      </c>
      <c r="E109" s="21" t="n">
        <v>10</v>
      </c>
      <c r="F109" s="21" t="n">
        <v>8</v>
      </c>
      <c r="G109" s="21" t="inlineStr">
        <is>
          <t>Per Bundle</t>
        </is>
      </c>
      <c r="H109" s="22">
        <f>IFERROR(VLOOKUP(A109,$A$5:$F$14,6,FALSE),"")</f>
        <v/>
      </c>
      <c r="I109" s="22">
        <f>IF(H109&lt;&gt;"",F109*H109,0)</f>
        <v/>
      </c>
    </row>
    <row r="110">
      <c r="A110" s="19" t="inlineStr">
        <is>
          <t>NUS-ABLOK-06</t>
        </is>
      </c>
      <c r="B110" s="19" t="inlineStr">
        <is>
          <t>Form-Lock (6in XR35)</t>
        </is>
      </c>
      <c r="C110" s="19" t="inlineStr">
        <is>
          <t>ACCESSORIES</t>
        </is>
      </c>
      <c r="D110" s="19" t="n">
        <v>91</v>
      </c>
      <c r="E110" s="19" t="n">
        <v>10</v>
      </c>
      <c r="F110" s="19" t="n">
        <v>10</v>
      </c>
      <c r="G110" s="19" t="inlineStr">
        <is>
          <t>Per Bundle</t>
        </is>
      </c>
      <c r="H110" s="20">
        <f>IFERROR(VLOOKUP(A110,$A$5:$F$14,6,FALSE),"")</f>
        <v/>
      </c>
      <c r="I110" s="20">
        <f>IF(H110&lt;&gt;"",F110*H110,0)</f>
        <v/>
      </c>
    </row>
    <row r="111">
      <c r="A111" s="21" t="inlineStr">
        <is>
          <t>NUS-PLINT-06</t>
        </is>
      </c>
      <c r="B111" s="21" t="inlineStr">
        <is>
          <t>Lintel Closures (6in XR35)</t>
        </is>
      </c>
      <c r="C111" s="21" t="inlineStr">
        <is>
          <t>ACCESSORIES</t>
        </is>
      </c>
      <c r="D111" s="21" t="n">
        <v>112</v>
      </c>
      <c r="E111" s="21" t="n">
        <v>60</v>
      </c>
      <c r="F111" s="21" t="n">
        <v>2</v>
      </c>
      <c r="G111" s="21" t="inlineStr">
        <is>
          <t>Per Each</t>
        </is>
      </c>
      <c r="H111" s="22">
        <f>IFERROR(VLOOKUP(A111,$A$5:$F$14,6,FALSE),"")</f>
        <v/>
      </c>
      <c r="I111" s="22">
        <f>IF(H111&lt;&gt;"",D111*H111,0)</f>
        <v/>
      </c>
    </row>
    <row r="112">
      <c r="A112" s="19" t="inlineStr">
        <is>
          <t>NUS-SF-BOX</t>
        </is>
      </c>
      <c r="B112" s="19" t="inlineStr">
        <is>
          <t>Spray Foam Cans</t>
        </is>
      </c>
      <c r="C112" s="19" t="inlineStr">
        <is>
          <t>ACCESSORIES</t>
        </is>
      </c>
      <c r="D112" s="19" t="n">
        <v>43</v>
      </c>
      <c r="E112" s="19" t="n">
        <v>12</v>
      </c>
      <c r="F112" s="19" t="n">
        <v>4</v>
      </c>
      <c r="G112" s="19" t="inlineStr">
        <is>
          <t>Per Bundle</t>
        </is>
      </c>
      <c r="H112" s="20">
        <f>IFERROR(VLOOKUP(A112,$A$5:$F$14,6,FALSE),"")</f>
        <v/>
      </c>
      <c r="I112" s="20">
        <f>IF(H112&lt;&gt;"",F112*H112,0)</f>
        <v/>
      </c>
    </row>
    <row r="113">
      <c r="A113" s="21" t="inlineStr">
        <is>
          <t>NUS-ATSTP-00</t>
        </is>
      </c>
      <c r="B113" s="21" t="inlineStr">
        <is>
          <t>T-Form Support Straps</t>
        </is>
      </c>
      <c r="C113" s="21" t="inlineStr">
        <is>
          <t>ACCESSORIES</t>
        </is>
      </c>
      <c r="D113" s="21" t="n">
        <v>228</v>
      </c>
      <c r="E113" s="21" t="n">
        <v>30</v>
      </c>
      <c r="F113" s="21" t="n">
        <v>8</v>
      </c>
      <c r="G113" s="21" t="inlineStr">
        <is>
          <t>Per Each</t>
        </is>
      </c>
      <c r="H113" s="22">
        <f>IFERROR(VLOOKUP(A113,$A$5:$F$14,6,FALSE),"")</f>
        <v/>
      </c>
      <c r="I113" s="22">
        <f>IF(H113&lt;&gt;"",D113*H113,0)</f>
        <v/>
      </c>
    </row>
    <row r="114">
      <c r="A114" s="19" t="inlineStr">
        <is>
          <t>NUS-A0VJC-00</t>
        </is>
      </c>
      <c r="B114" s="19" t="inlineStr">
        <is>
          <t>Vertical Joint Clips</t>
        </is>
      </c>
      <c r="C114" s="19" t="inlineStr">
        <is>
          <t>ACCESSORIES</t>
        </is>
      </c>
      <c r="D114" s="19" t="n">
        <v>2312</v>
      </c>
      <c r="E114" s="19" t="n">
        <v>200</v>
      </c>
      <c r="F114" s="19" t="n">
        <v>12</v>
      </c>
      <c r="G114" s="19" t="inlineStr">
        <is>
          <t>Per Each</t>
        </is>
      </c>
      <c r="H114" s="20">
        <f>IFERROR(VLOOKUP(A114,$A$5:$F$14,6,FALSE),"")</f>
        <v/>
      </c>
      <c r="I114" s="20">
        <f>IF(H114&lt;&gt;"",D114*H114,0)</f>
        <v/>
      </c>
    </row>
    <row r="115">
      <c r="A115" s="17" t="inlineStr">
        <is>
          <t>Plot B2 - L3</t>
        </is>
      </c>
      <c r="B115" s="7" t="n"/>
      <c r="C115" s="7" t="n"/>
      <c r="D115" s="7" t="n"/>
      <c r="E115" s="7" t="n"/>
      <c r="F115" s="7" t="n"/>
      <c r="G115" s="7" t="n"/>
      <c r="H115" s="7" t="n"/>
      <c r="I115" s="8" t="n"/>
    </row>
    <row r="116">
      <c r="A116" s="19" t="inlineStr">
        <is>
          <t>NUS-I0096-06</t>
        </is>
      </c>
      <c r="B116" s="19" t="inlineStr">
        <is>
          <t>6in Standard Straight</t>
        </is>
      </c>
      <c r="C116" s="19" t="inlineStr">
        <is>
          <t>ICF FORMS</t>
        </is>
      </c>
      <c r="D116" s="19" t="n">
        <v>276</v>
      </c>
      <c r="E116" s="19" t="n">
        <v>3</v>
      </c>
      <c r="F116" s="19" t="n">
        <v>92</v>
      </c>
      <c r="G116" s="19" t="inlineStr">
        <is>
          <t>Per Each</t>
        </is>
      </c>
      <c r="H116" s="20">
        <f>IFERROR(VLOOKUP(A116,$A$5:$F$14,6,FALSE),"")</f>
        <v/>
      </c>
      <c r="I116" s="20">
        <f>IF(H116&lt;&gt;"",D116*H116,0)</f>
        <v/>
      </c>
    </row>
    <row r="117">
      <c r="A117" s="21" t="inlineStr">
        <is>
          <t>NUS-I0096-06</t>
        </is>
      </c>
      <c r="B117" s="21" t="inlineStr">
        <is>
          <t>6in Standard Straight PC (Pre-Cut)</t>
        </is>
      </c>
      <c r="C117" s="21" t="inlineStr">
        <is>
          <t>ICF FORMS</t>
        </is>
      </c>
      <c r="D117" s="21" t="n">
        <v>243</v>
      </c>
      <c r="E117" s="21" t="n">
        <v>3</v>
      </c>
      <c r="F117" s="21" t="n">
        <v>81</v>
      </c>
      <c r="G117" s="21" t="inlineStr">
        <is>
          <t>Per Each</t>
        </is>
      </c>
      <c r="H117" s="22">
        <f>IFERROR(VLOOKUP(A117,$A$5:$F$14,6,FALSE),"")</f>
        <v/>
      </c>
      <c r="I117" s="22">
        <f>IF(H117&lt;&gt;"",D117*H117,0)</f>
        <v/>
      </c>
    </row>
    <row r="118">
      <c r="A118" s="19" t="inlineStr">
        <is>
          <t>NUS-I0090-06</t>
        </is>
      </c>
      <c r="B118" s="19" t="inlineStr">
        <is>
          <t>6in Standard 90° Corner</t>
        </is>
      </c>
      <c r="C118" s="19" t="inlineStr">
        <is>
          <t>ICF FORMS</t>
        </is>
      </c>
      <c r="D118" s="19" t="n">
        <v>80</v>
      </c>
      <c r="E118" s="19" t="n">
        <v>6</v>
      </c>
      <c r="F118" s="19" t="n">
        <v>14</v>
      </c>
      <c r="G118" s="19" t="inlineStr">
        <is>
          <t>Per Each</t>
        </is>
      </c>
      <c r="H118" s="20">
        <f>IFERROR(VLOOKUP(A118,$A$5:$F$14,6,FALSE),"")</f>
        <v/>
      </c>
      <c r="I118" s="20">
        <f>IF(H118&lt;&gt;"",D118*H118,0)</f>
        <v/>
      </c>
    </row>
    <row r="119">
      <c r="A119" s="21" t="inlineStr">
        <is>
          <t>NUS-IX496-06</t>
        </is>
      </c>
      <c r="B119" s="21" t="inlineStr">
        <is>
          <t>6in XR35 Straight</t>
        </is>
      </c>
      <c r="C119" s="21" t="inlineStr">
        <is>
          <t>ICF FORMS</t>
        </is>
      </c>
      <c r="D119" s="21" t="n">
        <v>35</v>
      </c>
      <c r="E119" s="21" t="n">
        <v>2</v>
      </c>
      <c r="F119" s="21" t="n">
        <v>18</v>
      </c>
      <c r="G119" s="21" t="inlineStr">
        <is>
          <t>Per Each</t>
        </is>
      </c>
      <c r="H119" s="22">
        <f>IFERROR(VLOOKUP(A119,$A$5:$F$14,6,FALSE),"")</f>
        <v/>
      </c>
      <c r="I119" s="22">
        <f>IF(H119&lt;&gt;"",D119*H119,0)</f>
        <v/>
      </c>
    </row>
    <row r="120">
      <c r="A120" s="19" t="inlineStr">
        <is>
          <t>NUS-IX496-06</t>
        </is>
      </c>
      <c r="B120" s="19" t="inlineStr">
        <is>
          <t>6in XR35 Straight PC (Pre-Cut)</t>
        </is>
      </c>
      <c r="C120" s="19" t="inlineStr">
        <is>
          <t>ICF FORMS</t>
        </is>
      </c>
      <c r="D120" s="19" t="n">
        <v>205</v>
      </c>
      <c r="E120" s="19" t="n">
        <v>2</v>
      </c>
      <c r="F120" s="19" t="n">
        <v>103</v>
      </c>
      <c r="G120" s="19" t="inlineStr">
        <is>
          <t>Per Each</t>
        </is>
      </c>
      <c r="H120" s="20">
        <f>IFERROR(VLOOKUP(A120,$A$5:$F$14,6,FALSE),"")</f>
        <v/>
      </c>
      <c r="I120" s="20">
        <f>IF(H120&lt;&gt;"",D120*H120,0)</f>
        <v/>
      </c>
    </row>
    <row r="121">
      <c r="A121" s="21" t="inlineStr">
        <is>
          <t>NUS-IX490-06</t>
        </is>
      </c>
      <c r="B121" s="21" t="inlineStr">
        <is>
          <t>6in XR35 90° Corner</t>
        </is>
      </c>
      <c r="C121" s="21" t="inlineStr">
        <is>
          <t>ICF FORMS</t>
        </is>
      </c>
      <c r="D121" s="21" t="n">
        <v>192</v>
      </c>
      <c r="E121" s="21" t="n">
        <v>4</v>
      </c>
      <c r="F121" s="21" t="n">
        <v>48</v>
      </c>
      <c r="G121" s="21" t="inlineStr">
        <is>
          <t>Per Each</t>
        </is>
      </c>
      <c r="H121" s="22">
        <f>IFERROR(VLOOKUP(A121,$A$5:$F$14,6,FALSE),"")</f>
        <v/>
      </c>
      <c r="I121" s="22">
        <f>IF(H121&lt;&gt;"",D121*H121,0)</f>
        <v/>
      </c>
    </row>
    <row r="122">
      <c r="A122" s="19" t="inlineStr">
        <is>
          <t>NUS-A0ECF-06</t>
        </is>
      </c>
      <c r="B122" s="19" t="inlineStr">
        <is>
          <t>End Caps (6in XR35)</t>
        </is>
      </c>
      <c r="C122" s="19" t="inlineStr">
        <is>
          <t>ACCESSORIES</t>
        </is>
      </c>
      <c r="D122" s="19" t="n">
        <v>322</v>
      </c>
      <c r="E122" s="19" t="n">
        <v>40</v>
      </c>
      <c r="F122" s="19" t="n">
        <v>9</v>
      </c>
      <c r="G122" s="19" t="inlineStr">
        <is>
          <t>Per Bundle</t>
        </is>
      </c>
      <c r="H122" s="20">
        <f>IFERROR(VLOOKUP(A122,$A$5:$F$14,6,FALSE),"")</f>
        <v/>
      </c>
      <c r="I122" s="20">
        <f>IF(H122&lt;&gt;"",F122*H122,0)</f>
        <v/>
      </c>
    </row>
    <row r="123">
      <c r="A123" s="21" t="inlineStr">
        <is>
          <t>NUS-ABLOK-06</t>
        </is>
      </c>
      <c r="B123" s="21" t="inlineStr">
        <is>
          <t>Form-Lock (6in Standard)</t>
        </is>
      </c>
      <c r="C123" s="21" t="inlineStr">
        <is>
          <t>ACCESSORIES</t>
        </is>
      </c>
      <c r="D123" s="21" t="n">
        <v>59</v>
      </c>
      <c r="E123" s="21" t="n">
        <v>10</v>
      </c>
      <c r="F123" s="21" t="n">
        <v>6</v>
      </c>
      <c r="G123" s="21" t="inlineStr">
        <is>
          <t>Per Bundle</t>
        </is>
      </c>
      <c r="H123" s="22">
        <f>IFERROR(VLOOKUP(A123,$A$5:$F$14,6,FALSE),"")</f>
        <v/>
      </c>
      <c r="I123" s="22">
        <f>IF(H123&lt;&gt;"",F123*H123,0)</f>
        <v/>
      </c>
    </row>
    <row r="124">
      <c r="A124" s="19" t="inlineStr">
        <is>
          <t>NUS-ABLOK-06</t>
        </is>
      </c>
      <c r="B124" s="19" t="inlineStr">
        <is>
          <t>Form-Lock (6in XR35)</t>
        </is>
      </c>
      <c r="C124" s="19" t="inlineStr">
        <is>
          <t>ACCESSORIES</t>
        </is>
      </c>
      <c r="D124" s="19" t="n">
        <v>46</v>
      </c>
      <c r="E124" s="19" t="n">
        <v>10</v>
      </c>
      <c r="F124" s="19" t="n">
        <v>5</v>
      </c>
      <c r="G124" s="19" t="inlineStr">
        <is>
          <t>Per Bundle</t>
        </is>
      </c>
      <c r="H124" s="20">
        <f>IFERROR(VLOOKUP(A124,$A$5:$F$14,6,FALSE),"")</f>
        <v/>
      </c>
      <c r="I124" s="20">
        <f>IF(H124&lt;&gt;"",F124*H124,0)</f>
        <v/>
      </c>
    </row>
    <row r="125">
      <c r="A125" s="21" t="inlineStr">
        <is>
          <t>NUS-PLINT-06</t>
        </is>
      </c>
      <c r="B125" s="21" t="inlineStr">
        <is>
          <t>Lintel Closures (6in XR35)</t>
        </is>
      </c>
      <c r="C125" s="21" t="inlineStr">
        <is>
          <t>ACCESSORIES</t>
        </is>
      </c>
      <c r="D125" s="21" t="n">
        <v>112</v>
      </c>
      <c r="E125" s="21" t="n">
        <v>60</v>
      </c>
      <c r="F125" s="21" t="n">
        <v>2</v>
      </c>
      <c r="G125" s="21" t="inlineStr">
        <is>
          <t>Per Each</t>
        </is>
      </c>
      <c r="H125" s="22">
        <f>IFERROR(VLOOKUP(A125,$A$5:$F$14,6,FALSE),"")</f>
        <v/>
      </c>
      <c r="I125" s="22">
        <f>IF(H125&lt;&gt;"",D125*H125,0)</f>
        <v/>
      </c>
    </row>
    <row r="126">
      <c r="A126" s="19" t="inlineStr">
        <is>
          <t>NUS-SF-BOX</t>
        </is>
      </c>
      <c r="B126" s="19" t="inlineStr">
        <is>
          <t>Spray Foam Cans</t>
        </is>
      </c>
      <c r="C126" s="19" t="inlineStr">
        <is>
          <t>ACCESSORIES</t>
        </is>
      </c>
      <c r="D126" s="19" t="n">
        <v>62</v>
      </c>
      <c r="E126" s="19" t="n">
        <v>12</v>
      </c>
      <c r="F126" s="19" t="n">
        <v>6</v>
      </c>
      <c r="G126" s="19" t="inlineStr">
        <is>
          <t>Per Bundle</t>
        </is>
      </c>
      <c r="H126" s="20">
        <f>IFERROR(VLOOKUP(A126,$A$5:$F$14,6,FALSE),"")</f>
        <v/>
      </c>
      <c r="I126" s="20">
        <f>IF(H126&lt;&gt;"",F126*H126,0)</f>
        <v/>
      </c>
    </row>
    <row r="127">
      <c r="A127" s="21" t="inlineStr">
        <is>
          <t>NUS-ATSTP-00</t>
        </is>
      </c>
      <c r="B127" s="21" t="inlineStr">
        <is>
          <t>T-Form Support Straps</t>
        </is>
      </c>
      <c r="C127" s="21" t="inlineStr">
        <is>
          <t>ACCESSORIES</t>
        </is>
      </c>
      <c r="D127" s="21" t="n">
        <v>940</v>
      </c>
      <c r="E127" s="21" t="n">
        <v>30</v>
      </c>
      <c r="F127" s="21" t="n">
        <v>32</v>
      </c>
      <c r="G127" s="21" t="inlineStr">
        <is>
          <t>Per Each</t>
        </is>
      </c>
      <c r="H127" s="22">
        <f>IFERROR(VLOOKUP(A127,$A$5:$F$14,6,FALSE),"")</f>
        <v/>
      </c>
      <c r="I127" s="22">
        <f>IF(H127&lt;&gt;"",D127*H127,0)</f>
        <v/>
      </c>
    </row>
    <row r="128">
      <c r="A128" s="19" t="inlineStr">
        <is>
          <t>NUS-A0VJC-00</t>
        </is>
      </c>
      <c r="B128" s="19" t="inlineStr">
        <is>
          <t>Vertical Joint Clips</t>
        </is>
      </c>
      <c r="C128" s="19" t="inlineStr">
        <is>
          <t>ACCESSORIES</t>
        </is>
      </c>
      <c r="D128" s="19" t="n">
        <v>3632</v>
      </c>
      <c r="E128" s="19" t="n">
        <v>200</v>
      </c>
      <c r="F128" s="19" t="n">
        <v>19</v>
      </c>
      <c r="G128" s="19" t="inlineStr">
        <is>
          <t>Per Each</t>
        </is>
      </c>
      <c r="H128" s="20">
        <f>IFERROR(VLOOKUP(A128,$A$5:$F$14,6,FALSE),"")</f>
        <v/>
      </c>
      <c r="I128" s="20">
        <f>IF(H128&lt;&gt;"",D128*H128,0)</f>
        <v/>
      </c>
    </row>
    <row r="130">
      <c r="A130" s="23" t="inlineStr">
        <is>
          <t>MATERIALS TOTAL</t>
        </is>
      </c>
      <c r="B130" s="7" t="n"/>
      <c r="C130" s="7" t="n"/>
      <c r="D130" s="7" t="n"/>
      <c r="E130" s="7" t="n"/>
      <c r="F130" s="7" t="n"/>
      <c r="G130" s="7" t="n"/>
      <c r="H130" s="8" t="n"/>
      <c r="I130" s="24">
        <f>SUM(I21:I128)</f>
        <v/>
      </c>
    </row>
  </sheetData>
  <sheetProtection selectLockedCells="0" selectUnlockedCells="0" sheet="1" objects="0" insertRows="1" insertHyperlinks="1" autoFilter="1" scenarios="0" formatColumns="1" deleteColumns="1" insertColumns="1" pivotTables="1" deleteRows="1" formatCells="1" formatRows="1" sort="1" password="CE4B"/>
  <mergeCells count="13">
    <mergeCell ref="A130:H130"/>
    <mergeCell ref="A19:I19"/>
    <mergeCell ref="A2:I2"/>
    <mergeCell ref="A33:I33"/>
    <mergeCell ref="A47:I47"/>
    <mergeCell ref="A115:I115"/>
    <mergeCell ref="A75:I75"/>
    <mergeCell ref="A1:I1"/>
    <mergeCell ref="A18:I18"/>
    <mergeCell ref="A61:I61"/>
    <mergeCell ref="A87:I87"/>
    <mergeCell ref="A101:I101"/>
    <mergeCell ref="A21:I21"/>
  </mergeCells>
  <pageMargins left="0.75" right="0.75" top="1" bottom="1" header="0.5" footer="0.5"/>
</worksheet>
</file>

<file path=xl/worksheets/sheet3.xml><?xml version="1.0" encoding="utf-8"?>
<worksheet xmlns="http://schemas.openxmlformats.org/spreadsheetml/2006/main">
  <sheetPr>
    <tabColor rgb="001A5C57"/>
    <outlinePr summaryBelow="1" summaryRight="1"/>
    <pageSetUpPr/>
  </sheetPr>
  <dimension ref="A1:D32"/>
  <sheetViews>
    <sheetView workbookViewId="0">
      <selection activeCell="A1" sqref="A1"/>
    </sheetView>
  </sheetViews>
  <sheetFormatPr baseColWidth="8" defaultRowHeight="15"/>
  <cols>
    <col width="35" customWidth="1" min="1" max="1"/>
    <col width="15" customWidth="1" min="2" max="2"/>
    <col width="15" customWidth="1" min="3" max="3"/>
    <col width="18" customWidth="1" min="4" max="4"/>
  </cols>
  <sheetData>
    <row r="1">
      <c r="A1" s="13" t="inlineStr">
        <is>
          <t>PALLET &amp; DELIVERY BREAKDOWN</t>
        </is>
      </c>
    </row>
    <row r="2"/>
    <row r="3">
      <c r="A3" s="6" t="inlineStr">
        <is>
          <t>FULL FORM PALLETS</t>
        </is>
      </c>
      <c r="B3" s="6" t="inlineStr">
        <is>
          <t>Pallets</t>
        </is>
      </c>
      <c r="C3" s="6" t="inlineStr">
        <is>
          <t>Forms/Pallet</t>
        </is>
      </c>
      <c r="D3" s="6" t="inlineStr">
        <is>
          <t>Forms</t>
        </is>
      </c>
    </row>
    <row r="4">
      <c r="A4" s="25" t="inlineStr">
        <is>
          <t>Distributor delivers full forms directly to site</t>
        </is>
      </c>
    </row>
    <row r="5">
      <c r="A5" s="21" t="inlineStr">
        <is>
          <t>Straight Standard</t>
        </is>
      </c>
      <c r="B5" s="21" t="n">
        <v>16</v>
      </c>
      <c r="C5" s="21" t="n">
        <v>54</v>
      </c>
      <c r="D5" s="21" t="n">
        <v>825</v>
      </c>
    </row>
    <row r="6">
      <c r="A6" s="19" t="inlineStr">
        <is>
          <t>Straight Xr35</t>
        </is>
      </c>
      <c r="B6" s="19" t="n">
        <v>7</v>
      </c>
      <c r="C6" s="19" t="n">
        <v>36</v>
      </c>
      <c r="D6" s="19" t="n">
        <v>246</v>
      </c>
    </row>
    <row r="7">
      <c r="A7" s="21" t="inlineStr">
        <is>
          <t>Corner</t>
        </is>
      </c>
      <c r="B7" s="21" t="n">
        <v>112</v>
      </c>
      <c r="C7" s="21" t="n">
        <v>12</v>
      </c>
      <c r="D7" s="21" t="n">
        <v>1342</v>
      </c>
    </row>
    <row r="8">
      <c r="A8" s="23" t="inlineStr">
        <is>
          <t>Total Full Form Pallets</t>
        </is>
      </c>
      <c r="B8" s="26" t="n">
        <v>135</v>
      </c>
    </row>
    <row r="9"/>
    <row r="10">
      <c r="A10" s="6" t="inlineStr">
        <is>
          <t>PRE-CUT FORM PALLETS (BuildEase Delivers)</t>
        </is>
      </c>
      <c r="B10" s="6" t="inlineStr">
        <is>
          <t>Pallets</t>
        </is>
      </c>
      <c r="C10" s="6" t="inlineStr">
        <is>
          <t>Forms/Pallet</t>
        </is>
      </c>
      <c r="D10" s="6" t="inlineStr">
        <is>
          <t>Forms</t>
        </is>
      </c>
    </row>
    <row r="11">
      <c r="A11" s="21" t="inlineStr">
        <is>
          <t>Straight Standard</t>
        </is>
      </c>
      <c r="B11" s="21" t="n">
        <v>2</v>
      </c>
      <c r="C11" s="21" t="n">
        <v>74</v>
      </c>
      <c r="D11" s="21" t="n">
        <v>149</v>
      </c>
    </row>
    <row r="12">
      <c r="A12" s="19" t="inlineStr">
        <is>
          <t>Straight Xr35</t>
        </is>
      </c>
      <c r="B12" s="19" t="n">
        <v>2</v>
      </c>
      <c r="C12" s="19" t="n">
        <v>68</v>
      </c>
      <c r="D12" s="19" t="n">
        <v>136</v>
      </c>
    </row>
    <row r="13">
      <c r="A13" s="21" t="inlineStr">
        <is>
          <t>Straight Standard</t>
        </is>
      </c>
      <c r="B13" s="21" t="n">
        <v>2</v>
      </c>
      <c r="C13" s="21" t="n">
        <v>63</v>
      </c>
      <c r="D13" s="21" t="n">
        <v>126</v>
      </c>
    </row>
    <row r="14">
      <c r="A14" s="19" t="inlineStr">
        <is>
          <t>Straight Xr35</t>
        </is>
      </c>
      <c r="B14" s="19" t="n">
        <v>2</v>
      </c>
      <c r="C14" s="19" t="n">
        <v>79</v>
      </c>
      <c r="D14" s="19" t="n">
        <v>159</v>
      </c>
    </row>
    <row r="15">
      <c r="A15" s="21" t="inlineStr">
        <is>
          <t>Straight Standard</t>
        </is>
      </c>
      <c r="B15" s="21" t="n">
        <v>1</v>
      </c>
      <c r="C15" s="21" t="n">
        <v>46</v>
      </c>
      <c r="D15" s="21" t="n">
        <v>46</v>
      </c>
    </row>
    <row r="16">
      <c r="A16" s="19" t="inlineStr">
        <is>
          <t>Straight Xr35</t>
        </is>
      </c>
      <c r="B16" s="19" t="n">
        <v>1</v>
      </c>
      <c r="C16" s="19" t="n">
        <v>44</v>
      </c>
      <c r="D16" s="19" t="n">
        <v>44</v>
      </c>
    </row>
    <row r="17">
      <c r="A17" s="21" t="inlineStr">
        <is>
          <t>Straight Standard</t>
        </is>
      </c>
      <c r="B17" s="21" t="n">
        <v>3</v>
      </c>
      <c r="C17" s="21" t="n">
        <v>81</v>
      </c>
      <c r="D17" s="21" t="n">
        <v>243</v>
      </c>
    </row>
    <row r="18">
      <c r="A18" s="19" t="inlineStr">
        <is>
          <t>Straight Xr35</t>
        </is>
      </c>
      <c r="B18" s="19" t="n">
        <v>2</v>
      </c>
      <c r="C18" s="19" t="n">
        <v>102</v>
      </c>
      <c r="D18" s="19" t="n">
        <v>205</v>
      </c>
    </row>
    <row r="19">
      <c r="A19" s="21" t="inlineStr">
        <is>
          <t>Straight Standard</t>
        </is>
      </c>
      <c r="B19" s="21" t="n">
        <v>2</v>
      </c>
      <c r="C19" s="21" t="n">
        <v>66</v>
      </c>
      <c r="D19" s="21" t="n">
        <v>133</v>
      </c>
    </row>
    <row r="20">
      <c r="A20" s="19" t="inlineStr">
        <is>
          <t>Straight Xr35</t>
        </is>
      </c>
      <c r="B20" s="19" t="n">
        <v>2</v>
      </c>
      <c r="C20" s="19" t="n">
        <v>52</v>
      </c>
      <c r="D20" s="19" t="n">
        <v>104</v>
      </c>
    </row>
    <row r="21">
      <c r="A21" s="21" t="inlineStr">
        <is>
          <t>Straight Standard</t>
        </is>
      </c>
      <c r="B21" s="21" t="n">
        <v>2</v>
      </c>
      <c r="C21" s="21" t="n">
        <v>64</v>
      </c>
      <c r="D21" s="21" t="n">
        <v>128</v>
      </c>
    </row>
    <row r="22">
      <c r="A22" s="19" t="inlineStr">
        <is>
          <t>Straight Xr35</t>
        </is>
      </c>
      <c r="B22" s="19" t="n">
        <v>2</v>
      </c>
      <c r="C22" s="19" t="n">
        <v>61</v>
      </c>
      <c r="D22" s="19" t="n">
        <v>122</v>
      </c>
    </row>
    <row r="23">
      <c r="A23" s="21" t="inlineStr">
        <is>
          <t>Straight Standard</t>
        </is>
      </c>
      <c r="B23" s="21" t="n">
        <v>1</v>
      </c>
      <c r="C23" s="21" t="n">
        <v>47</v>
      </c>
      <c r="D23" s="21" t="n">
        <v>47</v>
      </c>
    </row>
    <row r="24">
      <c r="A24" s="19" t="inlineStr">
        <is>
          <t>Straight Xr35</t>
        </is>
      </c>
      <c r="B24" s="19" t="n">
        <v>1</v>
      </c>
      <c r="C24" s="19" t="n">
        <v>34</v>
      </c>
      <c r="D24" s="19" t="n">
        <v>34</v>
      </c>
    </row>
    <row r="25">
      <c r="A25" s="21" t="inlineStr">
        <is>
          <t>Straight Standard</t>
        </is>
      </c>
      <c r="B25" s="21" t="n">
        <v>3</v>
      </c>
      <c r="C25" s="21" t="n">
        <v>79</v>
      </c>
      <c r="D25" s="21" t="n">
        <v>237</v>
      </c>
    </row>
    <row r="26">
      <c r="A26" s="19" t="inlineStr">
        <is>
          <t>Straight Xr35</t>
        </is>
      </c>
      <c r="B26" s="19" t="n">
        <v>2</v>
      </c>
      <c r="C26" s="19" t="n">
        <v>78</v>
      </c>
      <c r="D26" s="19" t="n">
        <v>156</v>
      </c>
    </row>
    <row r="27"/>
    <row r="28">
      <c r="A28" s="6" t="inlineStr">
        <is>
          <t>BUILDEASE HAULAGE</t>
        </is>
      </c>
      <c r="B28" s="6" t="inlineStr">
        <is>
          <t>Loads</t>
        </is>
      </c>
      <c r="C28" s="6" t="inlineStr">
        <is>
          <t>Rate/Load</t>
        </is>
      </c>
      <c r="D28" s="6" t="inlineStr">
        <is>
          <t>Total Cost</t>
        </is>
      </c>
    </row>
    <row r="29">
      <c r="A29" s="21" t="inlineStr">
        <is>
          <t>Pre-Cut Delivery (131 miles) - Isle of Man - 7 x 40 ft containers (B1) + 8 x 40 ft containers (B2), freight TBC (shown as 0.00)</t>
        </is>
      </c>
      <c r="B29" s="21" t="inlineStr">
        <is>
          <t>7 + 8 x 40 ft</t>
        </is>
      </c>
      <c r="C29" s="22" t="inlineStr">
        <is>
          <t>TBC</t>
        </is>
      </c>
      <c r="D29" s="22" t="n">
        <v>0</v>
      </c>
    </row>
    <row r="30">
      <c r="A30" s="23" t="inlineStr">
        <is>
          <t>BuildEase Haulage Total</t>
        </is>
      </c>
      <c r="B30" s="7" t="n"/>
      <c r="C30" s="8" t="n"/>
      <c r="D30" s="24" t="n">
        <v>0</v>
      </c>
    </row>
    <row r="32" ht="60" customHeight="1">
      <c r="A32" s="43" t="inlineStr">
        <is>
          <t>NOTE: the pallet counts above are the Proposal Generator's own artic-pallet estimate. Isle of Man shipping plan (BuildEase container load plans): PRE-CUT forms only: Block 1 = 1,237 forms / 29 pallets / 7 x 40 ft containers; Block 2 = 1,462 forms / 35 pallets / 8 x 40 ft containers. Freight TBC. Distributor stock forms and accessories are not in these containers.</t>
        </is>
      </c>
    </row>
  </sheetData>
  <sheetProtection selectLockedCells="0" selectUnlockedCells="0" sheet="1" objects="0" insertRows="1" insertHyperlinks="1" autoFilter="1" scenarios="0" formatColumns="1" deleteColumns="1" insertColumns="1" pivotTables="1" deleteRows="1" formatCells="1" formatRows="1" sort="1" password="CE4B"/>
  <mergeCells count="5">
    <mergeCell ref="A1:D1"/>
    <mergeCell ref="A8"/>
    <mergeCell ref="A4:D4"/>
    <mergeCell ref="A30:C30"/>
    <mergeCell ref="A32:D32"/>
  </mergeCells>
  <pageMargins left="0.75" right="0.75" top="1" bottom="1" header="0.5" footer="0.5"/>
</worksheet>
</file>

<file path=xl/worksheets/sheet4.xml><?xml version="1.0" encoding="utf-8"?>
<worksheet xmlns="http://schemas.openxmlformats.org/spreadsheetml/2006/main">
  <sheetPr>
    <tabColor rgb="0000A68A"/>
    <outlinePr summaryBelow="1" summaryRight="1"/>
    <pageSetUpPr/>
  </sheetPr>
  <dimension ref="A1:D10"/>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s>
  <sheetData>
    <row r="1">
      <c r="A1" s="13" t="inlineStr">
        <is>
          <t>BUILDEASE SERVICES</t>
        </is>
      </c>
    </row>
    <row r="2">
      <c r="A2" s="14" t="inlineStr">
        <is>
          <t>All prices below are fixed BuildEase charges (not editable).</t>
        </is>
      </c>
    </row>
    <row r="3"/>
    <row r="4">
      <c r="A4" s="6" t="inlineStr">
        <is>
          <t>PRE-CUT SERVICE FEES</t>
        </is>
      </c>
      <c r="B4" s="6" t="inlineStr">
        <is>
          <t>Modelling</t>
        </is>
      </c>
      <c r="C4" s="6" t="inlineStr">
        <is>
          <t>Manufacturing</t>
        </is>
      </c>
      <c r="D4" s="6" t="inlineStr">
        <is>
          <t>Total</t>
        </is>
      </c>
    </row>
    <row r="5">
      <c r="A5" s="21" t="inlineStr">
        <is>
          <t>Block 1 (12 flats) (Plot B1) — Design</t>
        </is>
      </c>
      <c r="B5" s="22" t="n">
        <v>1712.78</v>
      </c>
      <c r="C5" s="22" t="n">
        <v>4191.25</v>
      </c>
      <c r="D5" s="22" t="n">
        <v>5904.03</v>
      </c>
    </row>
    <row r="6">
      <c r="A6" s="19" t="inlineStr">
        <is>
          <t>Block 2 (18 flats) (Plot B2) — Design</t>
        </is>
      </c>
      <c r="B6" s="20" t="n">
        <v>2114.21</v>
      </c>
      <c r="C6" s="20" t="n">
        <v>5332.46</v>
      </c>
      <c r="D6" s="20" t="n">
        <v>7446.67</v>
      </c>
    </row>
    <row r="7">
      <c r="A7" s="23" t="inlineStr">
        <is>
          <t>Pre-Cut Fees Total</t>
        </is>
      </c>
      <c r="B7" s="7" t="n"/>
      <c r="C7" s="8" t="n"/>
      <c r="D7" s="24" t="n">
        <v>13350.7</v>
      </c>
    </row>
    <row r="8"/>
    <row r="9">
      <c r="A9" s="6" t="inlineStr">
        <is>
          <t>ALIGNMENT SYSTEM (Extra Over)</t>
        </is>
      </c>
      <c r="B9" s="6" t="inlineStr">
        <is>
          <t>Stillages</t>
        </is>
      </c>
      <c r="C9" s="6" t="inlineStr">
        <is>
          <t>Weeks</t>
        </is>
      </c>
      <c r="D9" s="6" t="inlineStr">
        <is>
          <t>Total</t>
        </is>
      </c>
    </row>
    <row r="10">
      <c r="A10" s="23" t="inlineStr">
        <is>
          <t>Alignment System Total (E/O) - NOT REQUIRED: distributor supplies own alignment</t>
        </is>
      </c>
      <c r="B10" s="7" t="n"/>
      <c r="C10" s="8" t="n"/>
      <c r="D10" s="24" t="n">
        <v>0</v>
      </c>
    </row>
  </sheetData>
  <sheetProtection selectLockedCells="0" selectUnlockedCells="0" sheet="1" objects="0" insertRows="1" insertHyperlinks="1" autoFilter="1" scenarios="0" formatColumns="1" deleteColumns="1" insertColumns="1" pivotTables="1" deleteRows="1" formatCells="1" formatRows="1" sort="1" password="CE4B"/>
  <mergeCells count="4">
    <mergeCell ref="A10:C10"/>
    <mergeCell ref="A1:D1"/>
    <mergeCell ref="A7:C7"/>
    <mergeCell ref="A2:D2"/>
  </mergeCells>
  <pageMargins left="0.75" right="0.75" top="1" bottom="1" header="0.5" footer="0.5"/>
</worksheet>
</file>

<file path=xl/worksheets/sheet5.xml><?xml version="1.0" encoding="utf-8"?>
<worksheet xmlns="http://schemas.openxmlformats.org/spreadsheetml/2006/main">
  <sheetPr>
    <tabColor rgb="001A5C57"/>
    <outlinePr summaryBelow="1" summaryRight="1"/>
    <pageSetUpPr/>
  </sheetPr>
  <dimension ref="A1:B14"/>
  <sheetViews>
    <sheetView workbookViewId="0">
      <selection activeCell="A1" sqref="A1"/>
    </sheetView>
  </sheetViews>
  <sheetFormatPr baseColWidth="8" defaultRowHeight="15"/>
  <cols>
    <col width="45" customWidth="1" min="1" max="1"/>
    <col width="22" customWidth="1" min="2" max="2"/>
  </cols>
  <sheetData>
    <row r="1">
      <c r="A1" s="13" t="inlineStr">
        <is>
          <t>PRICING SUMMARY</t>
        </is>
      </c>
    </row>
    <row r="2">
      <c r="A2" s="14" t="inlineStr">
        <is>
          <t>Totals update automatically from your rate entries.</t>
        </is>
      </c>
    </row>
    <row r="3"/>
    <row r="4">
      <c r="A4" s="6" t="inlineStr">
        <is>
          <t>Description</t>
        </is>
      </c>
      <c r="B4" s="6" t="inlineStr">
        <is>
          <t>Amount (£)</t>
        </is>
      </c>
    </row>
    <row r="5">
      <c r="A5" s="10" t="inlineStr">
        <is>
          <t>Supply of ICF Materials &amp; Accessories</t>
        </is>
      </c>
      <c r="B5" s="27">
        <f>BOM_Materials_Total</f>
        <v/>
      </c>
    </row>
    <row r="6">
      <c r="A6" s="16" t="inlineStr">
        <is>
          <t>BuildEase Pre-Cut Service Fee</t>
        </is>
      </c>
      <c r="B6" s="28">
        <f>BOM_Precut_Total</f>
        <v/>
      </c>
    </row>
    <row r="7">
      <c r="A7" s="10" t="inlineStr">
        <is>
          <t>Haulage — Pre-Cut Delivery (BuildEase) - Isle of Man - 7 x 40 ft containers (B1) + 8 x 40 ft containers (B2), freight TBC (shown as 0.00)</t>
        </is>
      </c>
      <c r="B7" s="27" t="n">
        <v>0</v>
      </c>
    </row>
    <row r="8">
      <c r="A8" s="16" t="inlineStr">
        <is>
          <t>Alignment System Rental (Extra Over) - NOT REQUIRED: distributor supplies own alignment</t>
        </is>
      </c>
      <c r="B8" s="28">
        <f>BOM_Alignment_Total</f>
        <v/>
      </c>
    </row>
    <row r="9"/>
    <row r="10">
      <c r="A10" s="23" t="inlineStr">
        <is>
          <t>NET TOTAL (Pre-VAT)</t>
        </is>
      </c>
      <c r="B10" s="24">
        <f>B5+B6+B7+B8</f>
        <v/>
      </c>
    </row>
    <row r="11">
      <c r="A11" s="29" t="inlineStr">
        <is>
          <t>VAT @ 20%</t>
        </is>
      </c>
      <c r="B11" s="27">
        <f>B10*0.2</f>
        <v/>
      </c>
    </row>
    <row r="12">
      <c r="A12" s="30" t="inlineStr">
        <is>
          <t>GRAND TOTAL (Inc. VAT)</t>
        </is>
      </c>
      <c r="B12" s="31">
        <f>B10+B11</f>
        <v/>
      </c>
    </row>
    <row r="13"/>
    <row r="14">
      <c r="A14" s="32" t="inlineStr">
        <is>
          <t>All figures are subject to the VAT rate stated. This quotation is valid for 30 days from the date shown.</t>
        </is>
      </c>
    </row>
  </sheetData>
  <sheetProtection selectLockedCells="0" selectUnlockedCells="0" sheet="1" objects="0" insertRows="1" insertHyperlinks="1" autoFilter="1" scenarios="0" formatColumns="1" deleteColumns="1" insertColumns="1" pivotTables="1" deleteRows="1" formatCells="1" formatRows="1" sort="1" password="CE4B"/>
  <mergeCells count="3">
    <mergeCell ref="A14:B14"/>
    <mergeCell ref="A2:B2"/>
    <mergeCell ref="A1:B1"/>
  </mergeCells>
  <pageMargins left="0.75" right="0.75" top="1" bottom="1" header="0.5" footer="0.5"/>
</worksheet>
</file>

<file path=xl/worksheets/sheet6.xml><?xml version="1.0" encoding="utf-8"?>
<worksheet xmlns="http://schemas.openxmlformats.org/spreadsheetml/2006/main">
  <sheetPr>
    <tabColor rgb="0000A68A"/>
    <outlinePr summaryBelow="1" summaryRight="1"/>
    <pageSetUpPr/>
  </sheetPr>
  <dimension ref="A1:B19"/>
  <sheetViews>
    <sheetView workbookViewId="0">
      <selection activeCell="A1" sqref="A1"/>
    </sheetView>
  </sheetViews>
  <sheetFormatPr baseColWidth="8" defaultRowHeight="15"/>
  <cols>
    <col width="20" customWidth="1" min="1" max="1"/>
    <col width="80" customWidth="1" min="2" max="2"/>
  </cols>
  <sheetData>
    <row r="1" ht="89.25" customHeight="1">
      <c r="B1" s="33" t="inlineStr">
        <is>
          <t>TERMS AND CONDITIONS</t>
        </is>
      </c>
    </row>
    <row r="2" ht="4" customHeight="1">
      <c r="A2" s="5" t="n"/>
      <c r="B2" s="5" t="n"/>
    </row>
    <row r="4">
      <c r="A4" s="23" t="inlineStr">
        <is>
          <t>PAYMENT TERMS</t>
        </is>
      </c>
      <c r="B4" s="8" t="n"/>
    </row>
    <row r="5" ht="20" customHeight="1">
      <c r="A5" s="34" t="inlineStr">
        <is>
          <t>Credit Account to be arranged upon placement of order subject to acceptance.</t>
        </is>
      </c>
    </row>
    <row r="7">
      <c r="A7" s="23" t="inlineStr">
        <is>
          <t>VAT</t>
        </is>
      </c>
      <c r="B7" s="8" t="n"/>
    </row>
    <row r="8" ht="20" customHeight="1">
      <c r="A8" s="34" t="inlineStr">
        <is>
          <t>At Current Rate.</t>
        </is>
      </c>
    </row>
    <row r="10">
      <c r="A10" s="23" t="inlineStr">
        <is>
          <t>FIXED PRICE PERIOD</t>
        </is>
      </c>
      <c r="B10" s="8" t="n"/>
    </row>
    <row r="11" ht="70" customHeight="1">
      <c r="A11" s="34" t="inlineStr">
        <is>
          <t>Our price will remain firm for a 1-month period from date of quotation.
The BuildEase kit will only be designed once an official order has been placed. Any special design considerations will be assessed at this time which may affect the final selling price of this kit.</t>
        </is>
      </c>
    </row>
    <row r="13">
      <c r="A13" s="23" t="inlineStr">
        <is>
          <t>DELIVERY</t>
        </is>
      </c>
      <c r="B13" s="8" t="n"/>
    </row>
    <row r="14" ht="154" customHeight="1">
      <c r="A14" s="34" t="inlineStr">
        <is>
          <t>In the event of delivery being deferred by the client from timescale agreed at order stage, Tremco CPG reserve the right to invoice for those components manufactured or held in store to meet initial delivery date.
Should delivery date be deferred due to delays out of Tremco CPG’s control:
•  Tremco CPG reserves the right to charge for storage of components. This will be charged at £200 / wagon load / week.
•  Tremco CPG reserves the right to re-schedule the design &amp; fabrication works to our next available slot.</t>
        </is>
      </c>
    </row>
    <row r="16">
      <c r="A16" s="23" t="inlineStr">
        <is>
          <t>GENERAL</t>
        </is>
      </c>
      <c r="B16" s="8" t="n"/>
    </row>
    <row r="17" ht="350" customHeight="1">
      <c r="A17" s="34" t="inlineStr">
        <is>
          <t>It is the clients / architects’ responsibility to approve BuildEase design drawings. Tremco CPG reserve the right to change delivery dates accordingly should we not meet our target design freeze date due to the late return of design approval.
It is the customer’s responsibility to ensure that foundations are prepared in accordance with dimensioned plans provided and level to tolerances detailed in the installation drawings provided. Foundations to be clean, dry and free from debris.
Tremco CPG reserve the right to claim for any additional or remedial works necessary resulting from any such defects.
It is the clients’ responsibility to inform Tremco CPG of any defects and give us the opportunity to return and rectify any such defects.
We will not accept costs for any remedial works which are carried out without our prior knowledge.
It is the customer’s responsibility to ensure that the project is covered by appropriate insurance such as one of the currently available contractors all risks policies, which cover materials, theft, fire, flood, etc.
All materials / components / services provided by Tremco CPG shall remain the property of Tremco CPG until all goods and services are paid for in full.</t>
        </is>
      </c>
    </row>
    <row r="19">
      <c r="A19" s="35" t="inlineStr">
        <is>
          <t>Tremco CPG UK Limited  |  Cavendish House, Unit 1  |  Enterprise 36, Barnsley  |  S75 3DZ  |  United Kingdom</t>
        </is>
      </c>
    </row>
  </sheetData>
  <sheetProtection selectLockedCells="0" selectUnlockedCells="0" sheet="1" objects="0" insertRows="1" insertHyperlinks="1" autoFilter="1" scenarios="0" formatColumns="1" deleteColumns="1" insertColumns="1" pivotTables="1" deleteRows="1" formatCells="1" formatRows="1" sort="1" password="CE4B"/>
  <mergeCells count="11">
    <mergeCell ref="A4:B4"/>
    <mergeCell ref="A16:B16"/>
    <mergeCell ref="A7:B7"/>
    <mergeCell ref="A19:B19"/>
    <mergeCell ref="A11:B11"/>
    <mergeCell ref="A10:B10"/>
    <mergeCell ref="A5:B5"/>
    <mergeCell ref="A13:B13"/>
    <mergeCell ref="A14:B14"/>
    <mergeCell ref="A17:B17"/>
    <mergeCell ref="A8:B8"/>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1A5C57"/>
    <outlinePr summaryBelow="1" summaryRight="1"/>
    <pageSetUpPr/>
  </sheetPr>
  <dimension ref="A1:D30"/>
  <sheetViews>
    <sheetView workbookViewId="0">
      <selection activeCell="A1" sqref="A1"/>
    </sheetView>
  </sheetViews>
  <sheetFormatPr baseColWidth="8" defaultRowHeight="15"/>
  <cols>
    <col width="45" customWidth="1" min="1" max="1"/>
    <col width="14" customWidth="1" min="2" max="2"/>
    <col width="18" customWidth="1" min="3" max="3"/>
    <col width="18" customWidth="1" min="4" max="4"/>
  </cols>
  <sheetData>
    <row r="1" ht="89.25" customHeight="1">
      <c r="C1" s="33" t="inlineStr">
        <is>
          <t>ORDER FORM</t>
        </is>
      </c>
    </row>
    <row r="2"/>
    <row r="3" ht="4" customHeight="1">
      <c r="A3" s="5" t="n"/>
      <c r="B3" s="5" t="n"/>
      <c r="C3" s="5" t="n"/>
      <c r="D3" s="5" t="n"/>
    </row>
    <row r="4"/>
    <row r="5">
      <c r="A5" s="6" t="inlineStr">
        <is>
          <t>ORDER DETAILS</t>
        </is>
      </c>
      <c r="B5" s="7" t="n"/>
      <c r="C5" s="7" t="n"/>
      <c r="D5" s="8" t="n"/>
    </row>
    <row r="6">
      <c r="A6" s="9" t="inlineStr">
        <is>
          <t>Estimate / Quote Reference</t>
        </is>
      </c>
      <c r="B6" s="36" t="inlineStr">
        <is>
          <t>ES26-071</t>
        </is>
      </c>
      <c r="C6" s="7" t="n"/>
      <c r="D6" s="8" t="n"/>
    </row>
    <row r="7">
      <c r="A7" s="9" t="inlineStr">
        <is>
          <t>Site Name</t>
        </is>
      </c>
      <c r="B7" s="36" t="inlineStr">
        <is>
          <t>Close Woirrey and Albert Road, Ramsey</t>
        </is>
      </c>
      <c r="C7" s="7" t="n"/>
      <c r="D7" s="8" t="n"/>
    </row>
    <row r="8">
      <c r="A8" s="9" t="inlineStr">
        <is>
          <t>Distributor Company</t>
        </is>
      </c>
      <c r="B8" s="11" t="inlineStr"/>
      <c r="C8" s="41" t="n"/>
      <c r="D8" s="42" t="n"/>
    </row>
    <row r="9">
      <c r="A9" s="9" t="inlineStr">
        <is>
          <t>Distributor PO Number</t>
        </is>
      </c>
      <c r="B9" s="11" t="inlineStr"/>
      <c r="C9" s="41" t="n"/>
      <c r="D9" s="42" t="n"/>
    </row>
    <row r="10">
      <c r="A10" s="9" t="inlineStr">
        <is>
          <t>Order Date</t>
        </is>
      </c>
      <c r="B10" s="11" t="inlineStr"/>
      <c r="C10" s="41" t="n"/>
      <c r="D10" s="42" t="n"/>
    </row>
    <row r="11">
      <c r="A11" s="9" t="inlineStr">
        <is>
          <t>Requested Delivery Date</t>
        </is>
      </c>
      <c r="B11" s="11" t="inlineStr"/>
      <c r="C11" s="41" t="n"/>
      <c r="D11" s="42" t="n"/>
    </row>
    <row r="12"/>
    <row r="13">
      <c r="A13" s="6" t="inlineStr">
        <is>
          <t>BUILDEASE SERVICES — SELECT REQUIRED</t>
        </is>
      </c>
      <c r="B13" s="6" t="inlineStr">
        <is>
          <t>Include?</t>
        </is>
      </c>
      <c r="C13" s="6" t="inlineStr">
        <is>
          <t>Description</t>
        </is>
      </c>
      <c r="D13" s="6" t="inlineStr">
        <is>
          <t>Amount (£)</t>
        </is>
      </c>
    </row>
    <row r="14">
      <c r="A14" s="29" t="inlineStr">
        <is>
          <t>BuildEase Pre-Cut Service</t>
        </is>
      </c>
      <c r="B14" s="37" t="inlineStr">
        <is>
          <t>Yes</t>
        </is>
      </c>
      <c r="C14" s="10" t="inlineStr">
        <is>
          <t>Optimised cutting, drawings &amp; field support</t>
        </is>
      </c>
      <c r="D14" s="27">
        <f>IF(B14="Yes",BOM_Precut_Total,0)</f>
        <v/>
      </c>
    </row>
    <row r="15">
      <c r="A15" s="29" t="inlineStr">
        <is>
          <t>Haulage — Pre-Cut Delivery - Isle of Man - 7 x 40 ft containers (B1) + 8 x 40 ft containers (B2), freight TBC (shown as 0.00)</t>
        </is>
      </c>
      <c r="B15" s="37" t="inlineStr">
        <is>
          <t>Yes</t>
        </is>
      </c>
      <c r="C15" s="10" t="inlineStr">
        <is>
          <t>15 x 40 ft containers - freight TBC</t>
        </is>
      </c>
      <c r="D15" s="27">
        <f>IF(B15="Yes",0.0,0)</f>
        <v/>
      </c>
    </row>
    <row r="16">
      <c r="A16" s="38" t="inlineStr">
        <is>
          <t>Alignment System Rental (E/O) - NOT REQUIRED: distributor supplies own alignment</t>
        </is>
      </c>
      <c r="B16" s="37" t="inlineStr">
        <is>
          <t>No</t>
        </is>
      </c>
      <c r="C16" s="16" t="inlineStr"/>
      <c r="D16" s="28">
        <f>IF(B16="Yes",BOM_Alignment_Total,0)</f>
        <v/>
      </c>
    </row>
    <row r="17"/>
    <row r="18">
      <c r="A18" s="23" t="inlineStr">
        <is>
          <t>NET SERVICES TOTAL (Pre-VAT)</t>
        </is>
      </c>
      <c r="B18" s="7" t="n"/>
      <c r="C18" s="8" t="n"/>
      <c r="D18" s="24">
        <f>D14+D15+D16</f>
        <v/>
      </c>
    </row>
    <row r="19">
      <c r="A19" s="29" t="inlineStr">
        <is>
          <t>VAT @ 20%</t>
        </is>
      </c>
      <c r="B19" s="36" t="n"/>
      <c r="C19" s="36" t="n"/>
      <c r="D19" s="27">
        <f>D18*0.2</f>
        <v/>
      </c>
    </row>
    <row r="20">
      <c r="A20" s="30" t="inlineStr">
        <is>
          <t>TOTAL SERVICES ORDER (Inc. VAT)</t>
        </is>
      </c>
      <c r="B20" s="7" t="n"/>
      <c r="C20" s="8" t="n"/>
      <c r="D20" s="31">
        <f>D18+D19</f>
        <v/>
      </c>
    </row>
    <row r="21"/>
    <row r="22">
      <c r="A22" s="6" t="inlineStr">
        <is>
          <t>AUTHORISATION</t>
        </is>
      </c>
      <c r="B22" s="7" t="n"/>
      <c r="C22" s="7" t="n"/>
      <c r="D22" s="8" t="n"/>
    </row>
    <row r="23" ht="30" customHeight="1">
      <c r="A23" s="39" t="inlineStr">
        <is>
          <t>I/We confirm acceptance of the BuildEase Terms and Conditions and hereby place an order for the services selected above.</t>
        </is>
      </c>
    </row>
    <row r="24">
      <c r="A24" s="9" t="inlineStr">
        <is>
          <t>Authorised By (Print Name)</t>
        </is>
      </c>
      <c r="B24" s="11" t="inlineStr"/>
      <c r="C24" s="41" t="n"/>
      <c r="D24" s="42" t="n"/>
    </row>
    <row r="25">
      <c r="A25" s="9" t="inlineStr">
        <is>
          <t>Position / Title</t>
        </is>
      </c>
      <c r="B25" s="11" t="inlineStr"/>
      <c r="C25" s="41" t="n"/>
      <c r="D25" s="42" t="n"/>
    </row>
    <row r="26" ht="40" customHeight="1">
      <c r="A26" s="9" t="inlineStr">
        <is>
          <t>Signature</t>
        </is>
      </c>
      <c r="B26" s="11" t="inlineStr"/>
      <c r="C26" s="41" t="n"/>
      <c r="D26" s="42" t="n"/>
    </row>
    <row r="27">
      <c r="A27" s="9" t="inlineStr">
        <is>
          <t>Date</t>
        </is>
      </c>
      <c r="B27" s="11" t="inlineStr"/>
      <c r="C27" s="41" t="n"/>
      <c r="D27" s="42" t="n"/>
    </row>
    <row r="28"/>
    <row r="29">
      <c r="A29" s="40" t="inlineStr">
        <is>
          <t>Please complete this Order Form and the Tremco Form PO sheet, then return both to: thomas.smith@tremcocpg.com</t>
        </is>
      </c>
    </row>
    <row r="30">
      <c r="A30" s="35" t="inlineStr">
        <is>
          <t>Tremco CPG UK Limited  |  Cavendish House, Unit 1  |  Enterprise 36, Barnsley  |  S75 3DZ</t>
        </is>
      </c>
    </row>
  </sheetData>
  <sheetProtection selectLockedCells="0" selectUnlockedCells="0" sheet="1" objects="0" insertRows="1" insertHyperlinks="1" autoFilter="1" scenarios="0" formatColumns="1" deleteColumns="1" insertColumns="1" pivotTables="1" deleteRows="1" formatCells="1" formatRows="1" sort="1" password="CE4B"/>
  <mergeCells count="18">
    <mergeCell ref="B10:D10"/>
    <mergeCell ref="A5:D5"/>
    <mergeCell ref="A23:D23"/>
    <mergeCell ref="B11:D11"/>
    <mergeCell ref="A20:C20"/>
    <mergeCell ref="A22:D22"/>
    <mergeCell ref="C1:D1"/>
    <mergeCell ref="B8:D8"/>
    <mergeCell ref="A30:D30"/>
    <mergeCell ref="B26:D26"/>
    <mergeCell ref="B9:D9"/>
    <mergeCell ref="A18:C18"/>
    <mergeCell ref="B27:D27"/>
    <mergeCell ref="A29:D29"/>
    <mergeCell ref="B7:D7"/>
    <mergeCell ref="B25:D25"/>
    <mergeCell ref="B6:D6"/>
    <mergeCell ref="B24:D24"/>
  </mergeCells>
  <dataValidations count="1">
    <dataValidation sqref="B14 B15 B16" showDropDown="0" showInputMessage="0" showErrorMessage="0" allowBlank="1" errorTitle="Invalid Selection" error="Please select Yes or No" type="list">
      <formula1>"Yes,No"</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2026-10-20T07:02:05Z</dcterms:created>
  <dcterms:modified xmlns:dcterms="http://purl.org/dc/terms/" xmlns:xsi="http://www.w3.org/2001/XMLSchema-instance" xsi:type="dcterms:W3CDTF">2026-10-20T07:02:05Z</dcterms:modified>
</cp:coreProperties>
</file>